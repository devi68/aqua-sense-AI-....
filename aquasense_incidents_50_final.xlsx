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8f57cab2ba1131/Documents/"/>
    </mc:Choice>
  </mc:AlternateContent>
  <xr:revisionPtr revIDLastSave="1" documentId="8_{73BB0A2E-F689-44F2-94F6-4A3EC9CC82E3}" xr6:coauthVersionLast="47" xr6:coauthVersionMax="47" xr10:uidLastSave="{9EE50F7F-5B96-466B-ABA1-2DCC67C2258F}"/>
  <bookViews>
    <workbookView xWindow="-120" yWindow="-120" windowWidth="29040" windowHeight="15720" xr2:uid="{52285B9D-E610-47A6-AC90-70240E4D3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L3" i="1"/>
  <c r="Q3" i="1" s="1"/>
  <c r="M3" i="1"/>
  <c r="N3" i="1"/>
  <c r="O3" i="1"/>
  <c r="P3" i="1"/>
  <c r="L4" i="1"/>
  <c r="M4" i="1"/>
  <c r="Q4" i="1" s="1"/>
  <c r="N4" i="1"/>
  <c r="O4" i="1"/>
  <c r="P4" i="1"/>
  <c r="L5" i="1"/>
  <c r="Q5" i="1" s="1"/>
  <c r="M5" i="1"/>
  <c r="N5" i="1"/>
  <c r="O5" i="1"/>
  <c r="P5" i="1"/>
  <c r="L6" i="1"/>
  <c r="M6" i="1"/>
  <c r="N6" i="1"/>
  <c r="O6" i="1"/>
  <c r="P6" i="1"/>
  <c r="Q6" i="1"/>
  <c r="L7" i="1"/>
  <c r="M7" i="1"/>
  <c r="Q7" i="1" s="1"/>
  <c r="N7" i="1"/>
  <c r="O7" i="1"/>
  <c r="P7" i="1"/>
  <c r="L8" i="1"/>
  <c r="Q8" i="1" s="1"/>
  <c r="M8" i="1"/>
  <c r="N8" i="1"/>
  <c r="O8" i="1"/>
  <c r="P8" i="1"/>
  <c r="L9" i="1"/>
  <c r="Q9" i="1" s="1"/>
  <c r="M9" i="1"/>
  <c r="N9" i="1"/>
  <c r="O9" i="1"/>
  <c r="P9" i="1"/>
  <c r="L10" i="1"/>
  <c r="M10" i="1"/>
  <c r="N10" i="1"/>
  <c r="O10" i="1"/>
  <c r="P10" i="1"/>
  <c r="Q10" i="1"/>
  <c r="L11" i="1"/>
  <c r="M11" i="1"/>
  <c r="Q11" i="1" s="1"/>
  <c r="N11" i="1"/>
  <c r="O11" i="1"/>
  <c r="P11" i="1"/>
  <c r="L12" i="1"/>
  <c r="Q12" i="1" s="1"/>
  <c r="M12" i="1"/>
  <c r="N12" i="1"/>
  <c r="O12" i="1"/>
  <c r="P12" i="1"/>
  <c r="L13" i="1"/>
  <c r="Q13" i="1" s="1"/>
  <c r="M13" i="1"/>
  <c r="N13" i="1"/>
  <c r="O13" i="1"/>
  <c r="P13" i="1"/>
  <c r="L14" i="1"/>
  <c r="M14" i="1"/>
  <c r="N14" i="1"/>
  <c r="O14" i="1"/>
  <c r="P14" i="1"/>
  <c r="Q14" i="1"/>
  <c r="L15" i="1"/>
  <c r="M15" i="1"/>
  <c r="Q15" i="1" s="1"/>
  <c r="N15" i="1"/>
  <c r="O15" i="1"/>
  <c r="P15" i="1"/>
  <c r="L16" i="1"/>
  <c r="M16" i="1"/>
  <c r="Q16" i="1" s="1"/>
  <c r="N16" i="1"/>
  <c r="O16" i="1"/>
  <c r="P16" i="1"/>
  <c r="L17" i="1"/>
  <c r="Q17" i="1" s="1"/>
  <c r="M17" i="1"/>
  <c r="N17" i="1"/>
  <c r="O17" i="1"/>
  <c r="P17" i="1"/>
  <c r="L18" i="1"/>
  <c r="M18" i="1"/>
  <c r="N18" i="1"/>
  <c r="O18" i="1"/>
  <c r="P18" i="1"/>
  <c r="Q18" i="1"/>
  <c r="L19" i="1"/>
  <c r="M19" i="1"/>
  <c r="Q19" i="1" s="1"/>
  <c r="N19" i="1"/>
  <c r="O19" i="1"/>
  <c r="P19" i="1"/>
  <c r="L20" i="1"/>
  <c r="M20" i="1"/>
  <c r="Q20" i="1" s="1"/>
  <c r="N20" i="1"/>
  <c r="O20" i="1"/>
  <c r="P20" i="1"/>
  <c r="L21" i="1"/>
  <c r="Q21" i="1" s="1"/>
  <c r="M21" i="1"/>
  <c r="N21" i="1"/>
  <c r="O21" i="1"/>
  <c r="P21" i="1"/>
  <c r="L22" i="1"/>
  <c r="M22" i="1"/>
  <c r="N22" i="1"/>
  <c r="O22" i="1"/>
  <c r="P22" i="1"/>
  <c r="Q22" i="1"/>
  <c r="L23" i="1"/>
  <c r="M23" i="1"/>
  <c r="Q23" i="1" s="1"/>
  <c r="N23" i="1"/>
  <c r="O23" i="1"/>
  <c r="P23" i="1"/>
  <c r="L24" i="1"/>
  <c r="M24" i="1"/>
  <c r="Q24" i="1" s="1"/>
  <c r="N24" i="1"/>
  <c r="O24" i="1"/>
  <c r="P24" i="1"/>
  <c r="L25" i="1"/>
  <c r="Q25" i="1" s="1"/>
  <c r="M25" i="1"/>
  <c r="N25" i="1"/>
  <c r="O25" i="1"/>
  <c r="P25" i="1"/>
  <c r="L26" i="1"/>
  <c r="M26" i="1"/>
  <c r="N26" i="1"/>
  <c r="O26" i="1"/>
  <c r="P26" i="1"/>
  <c r="Q26" i="1"/>
  <c r="L27" i="1"/>
  <c r="M27" i="1"/>
  <c r="Q27" i="1" s="1"/>
  <c r="N27" i="1"/>
  <c r="O27" i="1"/>
  <c r="P27" i="1"/>
  <c r="L28" i="1"/>
  <c r="M28" i="1"/>
  <c r="Q28" i="1" s="1"/>
  <c r="N28" i="1"/>
  <c r="O28" i="1"/>
  <c r="P28" i="1"/>
  <c r="L29" i="1"/>
  <c r="Q29" i="1" s="1"/>
  <c r="M29" i="1"/>
  <c r="N29" i="1"/>
  <c r="O29" i="1"/>
  <c r="P29" i="1"/>
  <c r="L30" i="1"/>
  <c r="M30" i="1"/>
  <c r="N30" i="1"/>
  <c r="O30" i="1"/>
  <c r="P30" i="1"/>
  <c r="Q30" i="1"/>
  <c r="L31" i="1"/>
  <c r="M31" i="1"/>
  <c r="Q31" i="1" s="1"/>
  <c r="N31" i="1"/>
  <c r="O31" i="1"/>
  <c r="P31" i="1"/>
  <c r="L32" i="1"/>
  <c r="M32" i="1"/>
  <c r="Q32" i="1" s="1"/>
  <c r="N32" i="1"/>
  <c r="O32" i="1"/>
  <c r="P32" i="1"/>
  <c r="L33" i="1"/>
  <c r="Q33" i="1" s="1"/>
  <c r="M33" i="1"/>
  <c r="N33" i="1"/>
  <c r="O33" i="1"/>
  <c r="P33" i="1"/>
  <c r="L34" i="1"/>
  <c r="M34" i="1"/>
  <c r="N34" i="1"/>
  <c r="O34" i="1"/>
  <c r="P34" i="1"/>
  <c r="Q34" i="1"/>
  <c r="L35" i="1"/>
  <c r="M35" i="1"/>
  <c r="Q35" i="1" s="1"/>
  <c r="N35" i="1"/>
  <c r="O35" i="1"/>
  <c r="P35" i="1"/>
  <c r="L36" i="1"/>
  <c r="M36" i="1"/>
  <c r="Q36" i="1" s="1"/>
  <c r="N36" i="1"/>
  <c r="O36" i="1"/>
  <c r="P36" i="1"/>
  <c r="L37" i="1"/>
  <c r="Q37" i="1" s="1"/>
  <c r="M37" i="1"/>
  <c r="N37" i="1"/>
  <c r="O37" i="1"/>
  <c r="P37" i="1"/>
  <c r="L38" i="1"/>
  <c r="M38" i="1"/>
  <c r="N38" i="1"/>
  <c r="O38" i="1"/>
  <c r="P38" i="1"/>
  <c r="Q38" i="1"/>
  <c r="L39" i="1"/>
  <c r="M39" i="1"/>
  <c r="Q39" i="1" s="1"/>
  <c r="N39" i="1"/>
  <c r="O39" i="1"/>
  <c r="P39" i="1"/>
  <c r="L40" i="1"/>
  <c r="M40" i="1"/>
  <c r="Q40" i="1" s="1"/>
  <c r="N40" i="1"/>
  <c r="O40" i="1"/>
  <c r="P40" i="1"/>
  <c r="L41" i="1"/>
  <c r="Q41" i="1" s="1"/>
  <c r="M41" i="1"/>
  <c r="N41" i="1"/>
  <c r="O41" i="1"/>
  <c r="P41" i="1"/>
  <c r="L42" i="1"/>
  <c r="M42" i="1"/>
  <c r="N42" i="1"/>
  <c r="O42" i="1"/>
  <c r="P42" i="1"/>
  <c r="Q42" i="1"/>
  <c r="L43" i="1"/>
  <c r="M43" i="1"/>
  <c r="Q43" i="1" s="1"/>
  <c r="N43" i="1"/>
  <c r="O43" i="1"/>
  <c r="P43" i="1"/>
  <c r="L44" i="1"/>
  <c r="M44" i="1"/>
  <c r="Q44" i="1" s="1"/>
  <c r="N44" i="1"/>
  <c r="O44" i="1"/>
  <c r="P44" i="1"/>
  <c r="L45" i="1"/>
  <c r="Q45" i="1" s="1"/>
  <c r="M45" i="1"/>
  <c r="N45" i="1"/>
  <c r="O45" i="1"/>
  <c r="P45" i="1"/>
  <c r="L46" i="1"/>
  <c r="M46" i="1"/>
  <c r="N46" i="1"/>
  <c r="O46" i="1"/>
  <c r="P46" i="1"/>
  <c r="Q46" i="1"/>
  <c r="L47" i="1"/>
  <c r="M47" i="1"/>
  <c r="Q47" i="1" s="1"/>
  <c r="N47" i="1"/>
  <c r="O47" i="1"/>
  <c r="P47" i="1"/>
  <c r="L48" i="1"/>
  <c r="M48" i="1"/>
  <c r="Q48" i="1" s="1"/>
  <c r="N48" i="1"/>
  <c r="O48" i="1"/>
  <c r="P48" i="1"/>
  <c r="L49" i="1"/>
  <c r="Q49" i="1" s="1"/>
  <c r="M49" i="1"/>
  <c r="N49" i="1"/>
  <c r="O49" i="1"/>
  <c r="P49" i="1"/>
  <c r="L50" i="1"/>
  <c r="M50" i="1"/>
  <c r="N50" i="1"/>
  <c r="O50" i="1"/>
  <c r="P50" i="1"/>
  <c r="Q50" i="1"/>
  <c r="L51" i="1"/>
  <c r="M51" i="1"/>
  <c r="Q51" i="1" s="1"/>
  <c r="N51" i="1"/>
  <c r="O51" i="1"/>
  <c r="P51" i="1"/>
  <c r="M2" i="1"/>
  <c r="Q2" i="1" s="1"/>
  <c r="P2" i="1"/>
  <c r="O2" i="1"/>
  <c r="N2" i="1"/>
  <c r="L2" i="1"/>
</calcChain>
</file>

<file path=xl/sharedStrings.xml><?xml version="1.0" encoding="utf-8"?>
<sst xmlns="http://schemas.openxmlformats.org/spreadsheetml/2006/main" count="372" uniqueCount="143">
  <si>
    <t>incident_id</t>
  </si>
  <si>
    <t>location</t>
  </si>
  <si>
    <t>incident_type</t>
  </si>
  <si>
    <t>description</t>
  </si>
  <si>
    <t>reported_at</t>
  </si>
  <si>
    <t>duration_hours</t>
  </si>
  <si>
    <t>severity</t>
  </si>
  <si>
    <t>people_affected</t>
  </si>
  <si>
    <t>continuity</t>
  </si>
  <si>
    <t>previous_incidents</t>
  </si>
  <si>
    <t>status</t>
  </si>
  <si>
    <t>severity_score</t>
  </si>
  <si>
    <t>duration_score</t>
  </si>
  <si>
    <t>impact_score</t>
  </si>
  <si>
    <t>continuity_score</t>
  </si>
  <si>
    <t>recurrence_score</t>
  </si>
  <si>
    <t>priority_score</t>
  </si>
  <si>
    <t>priority</t>
  </si>
  <si>
    <t>priority_reason</t>
  </si>
  <si>
    <t>hotspot_status</t>
  </si>
  <si>
    <t>recommended_action</t>
  </si>
  <si>
    <t>preventive_action</t>
  </si>
  <si>
    <t>WL001</t>
  </si>
  <si>
    <t>Hostel A</t>
  </si>
  <si>
    <t>Pipe Leak</t>
  </si>
  <si>
    <t>Water is continuously leaking from a damaged pipe behind Hostel A since early morning.</t>
  </si>
  <si>
    <t>High</t>
  </si>
  <si>
    <t>Continuous</t>
  </si>
  <si>
    <t>Open</t>
  </si>
  <si>
    <t>WL002</t>
  </si>
  <si>
    <t>Library</t>
  </si>
  <si>
    <t>Tap Leak</t>
  </si>
  <si>
    <t>A wash-area tap near the library is slowly dripping even when closed.</t>
  </si>
  <si>
    <t>Low</t>
  </si>
  <si>
    <t>Resolved</t>
  </si>
  <si>
    <t>WL003</t>
  </si>
  <si>
    <t>Main Tank</t>
  </si>
  <si>
    <t>Tank Overflow</t>
  </si>
  <si>
    <t>The main overhead tank is overflowing and water is running onto the ground.</t>
  </si>
  <si>
    <t>WL004</t>
  </si>
  <si>
    <t>Garden</t>
  </si>
  <si>
    <t>Irrigation Leak</t>
  </si>
  <si>
    <t>A damaged irrigation pipe is releasing water near the garden path.</t>
  </si>
  <si>
    <t>Medium</t>
  </si>
  <si>
    <t>Intermittent</t>
  </si>
  <si>
    <t>WL005</t>
  </si>
  <si>
    <t>The same pipe near Hostel A is leaking again and water has flowed for several hours.</t>
  </si>
  <si>
    <t>WL006</t>
  </si>
  <si>
    <t>Canteen</t>
  </si>
  <si>
    <t>A kitchen tap in the canteen keeps dripping after it is fully closed.</t>
  </si>
  <si>
    <t>WL007</t>
  </si>
  <si>
    <t>Academic Block</t>
  </si>
  <si>
    <t>Toilet/Plumbing Leak</t>
  </si>
  <si>
    <t>Water is leaking from a toilet fitting on the second floor and wetting the floor.</t>
  </si>
  <si>
    <t>In Progress</t>
  </si>
  <si>
    <t>WL008</t>
  </si>
  <si>
    <t>Hostel B</t>
  </si>
  <si>
    <t>Damaged Water Line</t>
  </si>
  <si>
    <t>A damaged supply line is releasing a large amount of water near the Hostel B entrance.</t>
  </si>
  <si>
    <t>WL009</t>
  </si>
  <si>
    <t>Sports Area</t>
  </si>
  <si>
    <t>A drinking-water tap near the sports area has a small intermittent leak.</t>
  </si>
  <si>
    <t>WL010</t>
  </si>
  <si>
    <t>The storage tank overflowed again because water continued flowing after it became full.</t>
  </si>
  <si>
    <t>WL011</t>
  </si>
  <si>
    <t>Water is leaking from the pipeline behind Hostel A and staff report several similar issues.</t>
  </si>
  <si>
    <t>WL012</t>
  </si>
  <si>
    <t>A sprinkler connection is leaking during irrigation and water is collecting around the path.</t>
  </si>
  <si>
    <t>WL013</t>
  </si>
  <si>
    <t>A washroom pipe in the library has been leaking and the floor is becoming wet.</t>
  </si>
  <si>
    <t>WL014</t>
  </si>
  <si>
    <t>Water is coming from a damaged supply line behind the canteen and the flow appears strong.</t>
  </si>
  <si>
    <t>WL015</t>
  </si>
  <si>
    <t>A pipe near the Hostel B wash area has a steady leak; this area was reported before.</t>
  </si>
  <si>
    <t>WL016</t>
  </si>
  <si>
    <t>A hand-wash tap on the first floor is dripping slowly and has continued for two days.</t>
  </si>
  <si>
    <t>WL017</t>
  </si>
  <si>
    <t>Another continuous pipe leak is reported near Hostel A after multiple earlier reports.</t>
  </si>
  <si>
    <t>WL018</t>
  </si>
  <si>
    <t>The main tank is overflowing slightly; the automatic level control may not stop the water flow.</t>
  </si>
  <si>
    <t>WL019</t>
  </si>
  <si>
    <t>An irrigation hose near the sports ground has a split and leaks when irrigation starts.</t>
  </si>
  <si>
    <t>WL020</t>
  </si>
  <si>
    <t>A major water-line leak is reported near Hostel A with continuous flow and repeated history.</t>
  </si>
  <si>
    <t>WL021</t>
  </si>
  <si>
    <t>Water is continuously leaking from a bathroom fitting used by hostel residents.</t>
  </si>
  <si>
    <t>WL022</t>
  </si>
  <si>
    <t>A tap near the canteen washing area has a slow leak with no visible flooding.</t>
  </si>
  <si>
    <t>WL023</t>
  </si>
  <si>
    <t>Water is escaping from a joint on the pipe connected to the main storage tank.</t>
  </si>
  <si>
    <t>WL024</t>
  </si>
  <si>
    <t>Water is pooling around an irrigation valve, suggesting a damaged connection.</t>
  </si>
  <si>
    <t>WL025</t>
  </si>
  <si>
    <t>A maintenance inspection found another leak close to the previously repaired Hostel A pipeline.</t>
  </si>
  <si>
    <t>WL026</t>
  </si>
  <si>
    <t>A tap near the ground-floor wash area drips only when the handle is moved.</t>
  </si>
  <si>
    <t>WL027</t>
  </si>
  <si>
    <t>Water is escaping from a pipe near the hostel entrance and the wet area is expanding.</t>
  </si>
  <si>
    <t>WL028</t>
  </si>
  <si>
    <t>A small tap leak is visible near the first-floor wash area.</t>
  </si>
  <si>
    <t>WL029</t>
  </si>
  <si>
    <t>The storage tank has started overflowing again despite a previous maintenance check.</t>
  </si>
  <si>
    <t>WL030</t>
  </si>
  <si>
    <t>A high-flow pipe leak has been reported near Hostel A during peak water-use hours.</t>
  </si>
  <si>
    <t>WL031</t>
  </si>
  <si>
    <t>A steady pipe leak has been reported in a hostel service area and has continued for several hours.</t>
  </si>
  <si>
    <t>WL032</t>
  </si>
  <si>
    <t>A library wash-area tap has a slow continuous leak that has remained unresolved since it was noticed.</t>
  </si>
  <si>
    <t>WL033</t>
  </si>
  <si>
    <t>The main storage tank is overflowing again while water continues entering the tank.</t>
  </si>
  <si>
    <t>WL034</t>
  </si>
  <si>
    <t>Water is escaping from a garden irrigation connection during watering.</t>
  </si>
  <si>
    <t>WL035</t>
  </si>
  <si>
    <t>A strong water leak is coming from a damaged supply line behind the canteen.</t>
  </si>
  <si>
    <t>WL036</t>
  </si>
  <si>
    <t>Water is leaking from a plumbing fitting in an academic-block washroom and wetting the floor.</t>
  </si>
  <si>
    <t>WL037</t>
  </si>
  <si>
    <t>A continuous pipe leak is reported near Hostel A after several earlier maintenance reports.</t>
  </si>
  <si>
    <t>WL038</t>
  </si>
  <si>
    <t>WL039</t>
  </si>
  <si>
    <t>A damaged water line near Hostel B is releasing water continuously and the wet area is increasing.</t>
  </si>
  <si>
    <t>WL040</t>
  </si>
  <si>
    <t>The main tank is overflowing and a similar overflow has been reported previously.</t>
  </si>
  <si>
    <t>WL041</t>
  </si>
  <si>
    <t>A library washroom plumbing fitting is leaking continuously and the surrounding floor is wet.</t>
  </si>
  <si>
    <t>WL042</t>
  </si>
  <si>
    <t>Water is pooling around an irrigation valve, indicating a possible damaged connection.</t>
  </si>
  <si>
    <t>WL043</t>
  </si>
  <si>
    <t>A canteen washing-area tap has a slow continuous leak that has been reported before.</t>
  </si>
  <si>
    <t>WL044</t>
  </si>
  <si>
    <t>A damaged water line is leaking near an academic-block service area and affecting nearby users.</t>
  </si>
  <si>
    <t>WL045</t>
  </si>
  <si>
    <t>A high-flow pipe leak has been reported near Hostel A after repeated previous incidents.</t>
  </si>
  <si>
    <t>WL046</t>
  </si>
  <si>
    <t>A hostel tap has a continuous leak and has been reported previously.</t>
  </si>
  <si>
    <t>WL047</t>
  </si>
  <si>
    <t>A damaged pipe connected to the main storage tank is releasing water continuously.</t>
  </si>
  <si>
    <t>WL048</t>
  </si>
  <si>
    <t>An irrigation connection is leaking intermittently and water is collecting near the garden path.</t>
  </si>
  <si>
    <t>WL049</t>
  </si>
  <si>
    <t>A washroom plumbing leak has continued for several hours and affects a commonly used area.</t>
  </si>
  <si>
    <t>WL050</t>
  </si>
  <si>
    <t>A high-impact water-line leak is reported near Hostel A with continuous flow and repeated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</si>
</sst>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D525-8E1A-4F3E-B549-92C26F43A50A}">
  <dimension ref="A1:V51"/>
  <sheetViews>
    <sheetView tabSelected="1" topLeftCell="A50" workbookViewId="0">
      <selection activeCell="V2" sqref="V2:V51"/>
    </sheetView>
  </sheetViews>
  <sheetFormatPr defaultRowHeight="15"/>
  <sheetData>
    <row r="1" spans="1:22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80">
      <c r="A2" s="2" t="s">
        <v>22</v>
      </c>
      <c r="B2" s="2" t="s">
        <v>23</v>
      </c>
      <c r="C2" s="2" t="s">
        <v>24</v>
      </c>
      <c r="D2" s="2" t="s">
        <v>25</v>
      </c>
      <c r="E2" s="4">
        <v>46254.354166666664</v>
      </c>
      <c r="F2" s="2">
        <v>6</v>
      </c>
      <c r="G2" s="2" t="s">
        <v>26</v>
      </c>
      <c r="H2" s="2">
        <v>80</v>
      </c>
      <c r="I2" s="2" t="s">
        <v>27</v>
      </c>
      <c r="J2" s="2">
        <v>0</v>
      </c>
      <c r="K2" s="2" t="s">
        <v>28</v>
      </c>
      <c r="L2" s="2">
        <f>IF(G2="High",100,IF(G2="Medium",60,25))</f>
        <v>100</v>
      </c>
      <c r="M2" s="2">
        <f>MIN(F2/24*100,100)</f>
        <v>25</v>
      </c>
      <c r="N2" s="2">
        <f>MIN(H2,100)</f>
        <v>80</v>
      </c>
      <c r="O2" s="2">
        <f>IF(I2="Continuous",100,IF(I2="Intermittent",50,40))</f>
        <v>100</v>
      </c>
      <c r="P2" s="2">
        <f>MIN(J2/5*100,100)</f>
        <v>0</v>
      </c>
      <c r="Q2" s="2">
        <f>ROUND(L2*0.3+M2*0.2+N2*0.25+O2*0.15+P2*0.1,1)</f>
        <v>70</v>
      </c>
      <c r="R2" s="2" t="str">
        <f>IF(Q2&gt;=70,"High",IF(Q2&gt;=40,"Medium","Low"))</f>
        <v>High</v>
      </c>
      <c r="S2" s="2" t="str">
        <f>IF(G2="High","high severity; ","")&amp;IF(G2="Medium","moderate severity; ","")&amp;IF(F2&gt;=6,"long duration; ","")&amp;IF(H2&gt;=70,"high potential impact; ","")&amp;IF(I2="Continuous","continuous water loss; ","")&amp;IF(J2&gt;=2,"recurring location","")</f>
        <v xml:space="preserve">high severity; long duration; high potential impact; continuous water loss; </v>
      </c>
      <c r="T2" s="2" t="str">
        <f>IF(OR(COUNTIF($B$2:$B$51,B2)&gt;=3,J2&gt;=2),"Recurring Hotspot","Normal")</f>
        <v>Recurring Hotspot</v>
      </c>
      <c r="U2" s="2" t="str">
        <f>IF(C2="Pipe Leak","Inspect and repair the affected pipe; check the nearby line for related damage.",IF(C2="Tap Leak","Inspect the tap and repair or replace the faulty fitting.",IF(C2="Tank Overflow","Inspect the level-control or valve mechanism and stop unnecessary overflow.",IF(C2="Irrigation Leak","Inspect the irrigation hose, valve, or connection and repair the damaged section.",IF(C2="Toilet/Plumbing Leak","Inspect the plumbing fitting and repair the source of leakage.",IF(C2="Damaged Water Line","Inspect and isolate the affected water line if required, then repair the damaged section.","Review incident manually."))))))</f>
        <v>Inspect and repair the affected pipe; check the nearby line for related damage.</v>
      </c>
      <c r="V2" s="2" t="str">
        <f>IF(T2="Recurring Hotspot","Schedule preventive inspection and review recurring causes.","Monitor the incident and complete the required corrective action.")</f>
        <v>Schedule preventive inspection and review recurring causes.</v>
      </c>
    </row>
    <row r="3" spans="1:22" ht="120">
      <c r="A3" s="2" t="s">
        <v>29</v>
      </c>
      <c r="B3" s="3" t="s">
        <v>30</v>
      </c>
      <c r="C3" t="s">
        <v>31</v>
      </c>
      <c r="D3" t="s">
        <v>32</v>
      </c>
      <c r="E3" s="5">
        <v>46254.427083333336</v>
      </c>
      <c r="F3">
        <v>5</v>
      </c>
      <c r="G3" t="s">
        <v>33</v>
      </c>
      <c r="H3">
        <v>8</v>
      </c>
      <c r="I3" t="s">
        <v>27</v>
      </c>
      <c r="J3">
        <v>0</v>
      </c>
      <c r="K3" t="s">
        <v>34</v>
      </c>
      <c r="L3" s="2">
        <f t="shared" ref="L3:L51" si="0">IF(G3="High",100,IF(G3="Medium",60,25))</f>
        <v>25</v>
      </c>
      <c r="M3" s="2">
        <f t="shared" ref="M3:M51" si="1">MIN(F3/24*100,100)</f>
        <v>20.833333333333336</v>
      </c>
      <c r="N3" s="2">
        <f t="shared" ref="N3:N51" si="2">MIN(H3,100)</f>
        <v>8</v>
      </c>
      <c r="O3" s="2">
        <f t="shared" ref="O3:O51" si="3">IF(I3="Continuous",100,IF(I3="Intermittent",50,40))</f>
        <v>100</v>
      </c>
      <c r="P3" s="2">
        <f t="shared" ref="P3:P51" si="4">MIN(J3/5*100,100)</f>
        <v>0</v>
      </c>
      <c r="Q3" s="2">
        <f t="shared" ref="Q3:Q51" si="5">ROUND(L3*0.3+M3*0.2+N3*0.25+O3*0.15+P3*0.1,1)</f>
        <v>28.7</v>
      </c>
      <c r="R3" s="2" t="str">
        <f t="shared" ref="R3:R51" si="6">IF(Q3&gt;=70,"High",IF(Q3&gt;=40,"Medium","Low"))</f>
        <v>Low</v>
      </c>
      <c r="S3" s="2" t="str">
        <f t="shared" ref="S3:S51" si="7">IF(G3="High","high severity; ","")&amp;IF(G3="Medium","moderate severity; ","")&amp;IF(F3&gt;=6,"long duration; ","")&amp;IF(H3&gt;=70,"high potential impact; ","")&amp;IF(I3="Continuous","continuous water loss; ","")&amp;IF(J3&gt;=2,"recurring location","")</f>
        <v xml:space="preserve">continuous water loss; </v>
      </c>
      <c r="T3" s="2" t="str">
        <f t="shared" ref="T3:T51" si="8">IF(OR(COUNTIF($B$2:$B$51,B3)&gt;=3,J3&gt;=2),"Recurring Hotspot","Normal")</f>
        <v>Recurring Hotspot</v>
      </c>
      <c r="U3" s="2" t="str">
        <f t="shared" ref="U3:U51" si="9">IF(C3="Pipe Leak","Inspect and repair the affected pipe; check the nearby line for related damage.",IF(C3="Tap Leak","Inspect the tap and repair or replace the faulty fitting.",IF(C3="Tank Overflow","Inspect the level-control or valve mechanism and stop unnecessary overflow.",IF(C3="Irrigation Leak","Inspect the irrigation hose, valve, or connection and repair the damaged section.",IF(C3="Toilet/Plumbing Leak","Inspect the plumbing fitting and repair the source of leakage.",IF(C3="Damaged Water Line","Inspect and isolate the affected water line if required, then repair the damaged section.","Review incident manually."))))))</f>
        <v>Inspect the tap and repair or replace the faulty fitting.</v>
      </c>
      <c r="V3" s="2" t="str">
        <f t="shared" ref="V3:V51" si="10">IF(T3="Recurring Hotspot","Schedule preventive inspection and review recurring causes.","Monitor the incident and complete the required corrective action.")</f>
        <v>Schedule preventive inspection and review recurring causes.</v>
      </c>
    </row>
    <row r="4" spans="1:22" ht="165">
      <c r="A4" s="2" t="s">
        <v>35</v>
      </c>
      <c r="B4" s="3" t="s">
        <v>36</v>
      </c>
      <c r="C4" t="s">
        <v>37</v>
      </c>
      <c r="D4" t="s">
        <v>38</v>
      </c>
      <c r="E4" s="5">
        <v>46254.458333333336</v>
      </c>
      <c r="F4">
        <v>2</v>
      </c>
      <c r="G4" t="s">
        <v>26</v>
      </c>
      <c r="H4">
        <v>100</v>
      </c>
      <c r="I4" t="s">
        <v>27</v>
      </c>
      <c r="J4">
        <v>0</v>
      </c>
      <c r="K4" t="s">
        <v>34</v>
      </c>
      <c r="L4" s="2">
        <f t="shared" si="0"/>
        <v>100</v>
      </c>
      <c r="M4" s="2">
        <f t="shared" si="1"/>
        <v>8.3333333333333321</v>
      </c>
      <c r="N4" s="2">
        <f t="shared" si="2"/>
        <v>100</v>
      </c>
      <c r="O4" s="2">
        <f t="shared" si="3"/>
        <v>100</v>
      </c>
      <c r="P4" s="2">
        <f t="shared" si="4"/>
        <v>0</v>
      </c>
      <c r="Q4" s="2">
        <f t="shared" si="5"/>
        <v>71.7</v>
      </c>
      <c r="R4" s="2" t="str">
        <f t="shared" si="6"/>
        <v>High</v>
      </c>
      <c r="S4" s="2" t="str">
        <f t="shared" si="7"/>
        <v xml:space="preserve">high severity; high potential impact; continuous water loss; </v>
      </c>
      <c r="T4" s="2" t="str">
        <f t="shared" si="8"/>
        <v>Recurring Hotspot</v>
      </c>
      <c r="U4" s="2" t="str">
        <f t="shared" si="9"/>
        <v>Inspect the level-control or valve mechanism and stop unnecessary overflow.</v>
      </c>
      <c r="V4" s="2" t="str">
        <f t="shared" si="10"/>
        <v>Schedule preventive inspection and review recurring causes.</v>
      </c>
    </row>
    <row r="5" spans="1:22" ht="165">
      <c r="A5" s="2" t="s">
        <v>39</v>
      </c>
      <c r="B5" s="3" t="s">
        <v>40</v>
      </c>
      <c r="C5" t="s">
        <v>41</v>
      </c>
      <c r="D5" t="s">
        <v>42</v>
      </c>
      <c r="E5" s="5">
        <v>46255.322916666664</v>
      </c>
      <c r="F5">
        <v>1</v>
      </c>
      <c r="G5" t="s">
        <v>43</v>
      </c>
      <c r="H5">
        <v>15</v>
      </c>
      <c r="I5" t="s">
        <v>44</v>
      </c>
      <c r="J5">
        <v>0</v>
      </c>
      <c r="K5" t="s">
        <v>34</v>
      </c>
      <c r="L5" s="2">
        <f t="shared" si="0"/>
        <v>60</v>
      </c>
      <c r="M5" s="2">
        <f t="shared" si="1"/>
        <v>4.1666666666666661</v>
      </c>
      <c r="N5" s="2">
        <f t="shared" si="2"/>
        <v>15</v>
      </c>
      <c r="O5" s="2">
        <f t="shared" si="3"/>
        <v>50</v>
      </c>
      <c r="P5" s="2">
        <f t="shared" si="4"/>
        <v>0</v>
      </c>
      <c r="Q5" s="2">
        <f t="shared" si="5"/>
        <v>30.1</v>
      </c>
      <c r="R5" s="2" t="str">
        <f t="shared" si="6"/>
        <v>Low</v>
      </c>
      <c r="S5" s="2" t="str">
        <f t="shared" si="7"/>
        <v xml:space="preserve">moderate severity; </v>
      </c>
      <c r="T5" s="2" t="str">
        <f t="shared" si="8"/>
        <v>Recurring Hotspot</v>
      </c>
      <c r="U5" s="2" t="str">
        <f t="shared" si="9"/>
        <v>Inspect the irrigation hose, valve, or connection and repair the damaged section.</v>
      </c>
      <c r="V5" s="2" t="str">
        <f t="shared" si="10"/>
        <v>Schedule preventive inspection and review recurring causes.</v>
      </c>
    </row>
    <row r="6" spans="1:22" ht="180">
      <c r="A6" s="2" t="s">
        <v>45</v>
      </c>
      <c r="B6" s="3" t="s">
        <v>23</v>
      </c>
      <c r="C6" t="s">
        <v>24</v>
      </c>
      <c r="D6" t="s">
        <v>46</v>
      </c>
      <c r="E6" s="5">
        <v>46255.555555555555</v>
      </c>
      <c r="F6">
        <v>5</v>
      </c>
      <c r="G6" t="s">
        <v>26</v>
      </c>
      <c r="H6">
        <v>80</v>
      </c>
      <c r="I6" t="s">
        <v>27</v>
      </c>
      <c r="J6">
        <v>1</v>
      </c>
      <c r="K6" t="s">
        <v>28</v>
      </c>
      <c r="L6" s="2">
        <f t="shared" si="0"/>
        <v>100</v>
      </c>
      <c r="M6" s="2">
        <f t="shared" si="1"/>
        <v>20.833333333333336</v>
      </c>
      <c r="N6" s="2">
        <f t="shared" si="2"/>
        <v>80</v>
      </c>
      <c r="O6" s="2">
        <f t="shared" si="3"/>
        <v>100</v>
      </c>
      <c r="P6" s="2">
        <f t="shared" si="4"/>
        <v>20</v>
      </c>
      <c r="Q6" s="2">
        <f t="shared" si="5"/>
        <v>71.2</v>
      </c>
      <c r="R6" s="2" t="str">
        <f t="shared" si="6"/>
        <v>High</v>
      </c>
      <c r="S6" s="2" t="str">
        <f t="shared" si="7"/>
        <v xml:space="preserve">high severity; high potential impact; continuous water loss; </v>
      </c>
      <c r="T6" s="2" t="str">
        <f t="shared" si="8"/>
        <v>Recurring Hotspot</v>
      </c>
      <c r="U6" s="2" t="str">
        <f t="shared" si="9"/>
        <v>Inspect and repair the affected pipe; check the nearby line for related damage.</v>
      </c>
      <c r="V6" s="2" t="str">
        <f t="shared" si="10"/>
        <v>Schedule preventive inspection and review recurring causes.</v>
      </c>
    </row>
    <row r="7" spans="1:22" ht="120">
      <c r="A7" s="2" t="s">
        <v>47</v>
      </c>
      <c r="B7" s="3" t="s">
        <v>48</v>
      </c>
      <c r="C7" t="s">
        <v>31</v>
      </c>
      <c r="D7" t="s">
        <v>49</v>
      </c>
      <c r="E7" s="5">
        <v>46256.381944444445</v>
      </c>
      <c r="F7">
        <v>3</v>
      </c>
      <c r="G7" t="s">
        <v>33</v>
      </c>
      <c r="H7">
        <v>20</v>
      </c>
      <c r="I7" t="s">
        <v>27</v>
      </c>
      <c r="J7">
        <v>0</v>
      </c>
      <c r="K7" t="s">
        <v>34</v>
      </c>
      <c r="L7" s="2">
        <f t="shared" si="0"/>
        <v>25</v>
      </c>
      <c r="M7" s="2">
        <f t="shared" si="1"/>
        <v>12.5</v>
      </c>
      <c r="N7" s="2">
        <f t="shared" si="2"/>
        <v>20</v>
      </c>
      <c r="O7" s="2">
        <f t="shared" si="3"/>
        <v>100</v>
      </c>
      <c r="P7" s="2">
        <f t="shared" si="4"/>
        <v>0</v>
      </c>
      <c r="Q7" s="2">
        <f t="shared" si="5"/>
        <v>30</v>
      </c>
      <c r="R7" s="2" t="str">
        <f t="shared" si="6"/>
        <v>Low</v>
      </c>
      <c r="S7" s="2" t="str">
        <f t="shared" si="7"/>
        <v xml:space="preserve">continuous water loss; </v>
      </c>
      <c r="T7" s="2" t="str">
        <f t="shared" si="8"/>
        <v>Recurring Hotspot</v>
      </c>
      <c r="U7" s="2" t="str">
        <f t="shared" si="9"/>
        <v>Inspect the tap and repair or replace the faulty fitting.</v>
      </c>
      <c r="V7" s="2" t="str">
        <f t="shared" si="10"/>
        <v>Schedule preventive inspection and review recurring causes.</v>
      </c>
    </row>
    <row r="8" spans="1:22" ht="135">
      <c r="A8" s="2" t="s">
        <v>50</v>
      </c>
      <c r="B8" s="3" t="s">
        <v>51</v>
      </c>
      <c r="C8" t="s">
        <v>52</v>
      </c>
      <c r="D8" t="s">
        <v>53</v>
      </c>
      <c r="E8" s="5">
        <v>46256.527777777781</v>
      </c>
      <c r="F8">
        <v>2</v>
      </c>
      <c r="G8" t="s">
        <v>43</v>
      </c>
      <c r="H8">
        <v>40</v>
      </c>
      <c r="I8" t="s">
        <v>27</v>
      </c>
      <c r="J8">
        <v>0</v>
      </c>
      <c r="K8" t="s">
        <v>54</v>
      </c>
      <c r="L8" s="2">
        <f t="shared" si="0"/>
        <v>60</v>
      </c>
      <c r="M8" s="2">
        <f t="shared" si="1"/>
        <v>8.3333333333333321</v>
      </c>
      <c r="N8" s="2">
        <f t="shared" si="2"/>
        <v>40</v>
      </c>
      <c r="O8" s="2">
        <f t="shared" si="3"/>
        <v>100</v>
      </c>
      <c r="P8" s="2">
        <f t="shared" si="4"/>
        <v>0</v>
      </c>
      <c r="Q8" s="2">
        <f t="shared" si="5"/>
        <v>44.7</v>
      </c>
      <c r="R8" s="2" t="str">
        <f t="shared" si="6"/>
        <v>Medium</v>
      </c>
      <c r="S8" s="2" t="str">
        <f t="shared" si="7"/>
        <v xml:space="preserve">moderate severity; continuous water loss; </v>
      </c>
      <c r="T8" s="2" t="str">
        <f t="shared" si="8"/>
        <v>Recurring Hotspot</v>
      </c>
      <c r="U8" s="2" t="str">
        <f t="shared" si="9"/>
        <v>Inspect the plumbing fitting and repair the source of leakage.</v>
      </c>
      <c r="V8" s="2" t="str">
        <f t="shared" si="10"/>
        <v>Schedule preventive inspection and review recurring causes.</v>
      </c>
    </row>
    <row r="9" spans="1:22" ht="195">
      <c r="A9" s="2" t="s">
        <v>55</v>
      </c>
      <c r="B9" s="3" t="s">
        <v>56</v>
      </c>
      <c r="C9" t="s">
        <v>57</v>
      </c>
      <c r="D9" t="s">
        <v>58</v>
      </c>
      <c r="E9" s="5">
        <v>46257.284722222219</v>
      </c>
      <c r="F9">
        <v>4</v>
      </c>
      <c r="G9" t="s">
        <v>26</v>
      </c>
      <c r="H9">
        <v>120</v>
      </c>
      <c r="I9" t="s">
        <v>27</v>
      </c>
      <c r="J9">
        <v>0</v>
      </c>
      <c r="K9" t="s">
        <v>28</v>
      </c>
      <c r="L9" s="2">
        <f t="shared" si="0"/>
        <v>100</v>
      </c>
      <c r="M9" s="2">
        <f t="shared" si="1"/>
        <v>16.666666666666664</v>
      </c>
      <c r="N9" s="2">
        <f t="shared" si="2"/>
        <v>100</v>
      </c>
      <c r="O9" s="2">
        <f t="shared" si="3"/>
        <v>100</v>
      </c>
      <c r="P9" s="2">
        <f t="shared" si="4"/>
        <v>0</v>
      </c>
      <c r="Q9" s="2">
        <f t="shared" si="5"/>
        <v>73.3</v>
      </c>
      <c r="R9" s="2" t="str">
        <f t="shared" si="6"/>
        <v>High</v>
      </c>
      <c r="S9" s="2" t="str">
        <f t="shared" si="7"/>
        <v xml:space="preserve">high severity; high potential impact; continuous water loss; </v>
      </c>
      <c r="T9" s="2" t="str">
        <f t="shared" si="8"/>
        <v>Recurring Hotspot</v>
      </c>
      <c r="U9" s="2" t="str">
        <f t="shared" si="9"/>
        <v>Inspect and isolate the affected water line if required, then repair the damaged section.</v>
      </c>
      <c r="V9" s="2" t="str">
        <f t="shared" si="10"/>
        <v>Schedule preventive inspection and review recurring causes.</v>
      </c>
    </row>
    <row r="10" spans="1:22" ht="120">
      <c r="A10" s="2" t="s">
        <v>59</v>
      </c>
      <c r="B10" s="3" t="s">
        <v>60</v>
      </c>
      <c r="C10" t="s">
        <v>31</v>
      </c>
      <c r="D10" t="s">
        <v>61</v>
      </c>
      <c r="E10" s="5">
        <v>46257.6875</v>
      </c>
      <c r="F10">
        <v>8</v>
      </c>
      <c r="G10" t="s">
        <v>33</v>
      </c>
      <c r="H10">
        <v>12</v>
      </c>
      <c r="I10" t="s">
        <v>44</v>
      </c>
      <c r="J10">
        <v>0</v>
      </c>
      <c r="K10" t="s">
        <v>34</v>
      </c>
      <c r="L10" s="2">
        <f t="shared" si="0"/>
        <v>25</v>
      </c>
      <c r="M10" s="2">
        <f t="shared" si="1"/>
        <v>33.333333333333329</v>
      </c>
      <c r="N10" s="2">
        <f t="shared" si="2"/>
        <v>12</v>
      </c>
      <c r="O10" s="2">
        <f t="shared" si="3"/>
        <v>50</v>
      </c>
      <c r="P10" s="2">
        <f t="shared" si="4"/>
        <v>0</v>
      </c>
      <c r="Q10" s="2">
        <f t="shared" si="5"/>
        <v>24.7</v>
      </c>
      <c r="R10" s="2" t="str">
        <f t="shared" si="6"/>
        <v>Low</v>
      </c>
      <c r="S10" s="2" t="str">
        <f t="shared" si="7"/>
        <v xml:space="preserve">long duration; </v>
      </c>
      <c r="T10" s="2" t="str">
        <f t="shared" si="8"/>
        <v>Recurring Hotspot</v>
      </c>
      <c r="U10" s="2" t="str">
        <f t="shared" si="9"/>
        <v>Inspect the tap and repair or replace the faulty fitting.</v>
      </c>
      <c r="V10" s="2" t="str">
        <f t="shared" si="10"/>
        <v>Schedule preventive inspection and review recurring causes.</v>
      </c>
    </row>
    <row r="11" spans="1:22" ht="165">
      <c r="A11" s="2" t="s">
        <v>62</v>
      </c>
      <c r="B11" s="3" t="s">
        <v>36</v>
      </c>
      <c r="C11" t="s">
        <v>37</v>
      </c>
      <c r="D11" t="s">
        <v>63</v>
      </c>
      <c r="E11" s="5">
        <v>46258.336805555555</v>
      </c>
      <c r="F11">
        <v>3</v>
      </c>
      <c r="G11" t="s">
        <v>26</v>
      </c>
      <c r="H11">
        <v>100</v>
      </c>
      <c r="I11" t="s">
        <v>27</v>
      </c>
      <c r="J11">
        <v>1</v>
      </c>
      <c r="K11" t="s">
        <v>28</v>
      </c>
      <c r="L11" s="2">
        <f t="shared" si="0"/>
        <v>100</v>
      </c>
      <c r="M11" s="2">
        <f t="shared" si="1"/>
        <v>12.5</v>
      </c>
      <c r="N11" s="2">
        <f t="shared" si="2"/>
        <v>100</v>
      </c>
      <c r="O11" s="2">
        <f t="shared" si="3"/>
        <v>100</v>
      </c>
      <c r="P11" s="2">
        <f t="shared" si="4"/>
        <v>20</v>
      </c>
      <c r="Q11" s="2">
        <f t="shared" si="5"/>
        <v>74.5</v>
      </c>
      <c r="R11" s="2" t="str">
        <f t="shared" si="6"/>
        <v>High</v>
      </c>
      <c r="S11" s="2" t="str">
        <f t="shared" si="7"/>
        <v xml:space="preserve">high severity; high potential impact; continuous water loss; </v>
      </c>
      <c r="T11" s="2" t="str">
        <f t="shared" si="8"/>
        <v>Recurring Hotspot</v>
      </c>
      <c r="U11" s="2" t="str">
        <f t="shared" si="9"/>
        <v>Inspect the level-control or valve mechanism and stop unnecessary overflow.</v>
      </c>
      <c r="V11" s="2" t="str">
        <f t="shared" si="10"/>
        <v>Schedule preventive inspection and review recurring causes.</v>
      </c>
    </row>
    <row r="12" spans="1:22" ht="180">
      <c r="A12" s="2" t="s">
        <v>64</v>
      </c>
      <c r="B12" s="3" t="s">
        <v>23</v>
      </c>
      <c r="C12" t="s">
        <v>24</v>
      </c>
      <c r="D12" t="s">
        <v>65</v>
      </c>
      <c r="E12" s="5">
        <v>46258.600694444445</v>
      </c>
      <c r="F12">
        <v>10</v>
      </c>
      <c r="G12" t="s">
        <v>26</v>
      </c>
      <c r="H12">
        <v>80</v>
      </c>
      <c r="I12" t="s">
        <v>27</v>
      </c>
      <c r="J12">
        <v>2</v>
      </c>
      <c r="K12" t="s">
        <v>28</v>
      </c>
      <c r="L12" s="2">
        <f t="shared" si="0"/>
        <v>100</v>
      </c>
      <c r="M12" s="2">
        <f t="shared" si="1"/>
        <v>41.666666666666671</v>
      </c>
      <c r="N12" s="2">
        <f t="shared" si="2"/>
        <v>80</v>
      </c>
      <c r="O12" s="2">
        <f t="shared" si="3"/>
        <v>100</v>
      </c>
      <c r="P12" s="2">
        <f t="shared" si="4"/>
        <v>40</v>
      </c>
      <c r="Q12" s="2">
        <f t="shared" si="5"/>
        <v>77.3</v>
      </c>
      <c r="R12" s="2" t="str">
        <f t="shared" si="6"/>
        <v>High</v>
      </c>
      <c r="S12" s="2" t="str">
        <f t="shared" si="7"/>
        <v>high severity; long duration; high potential impact; continuous water loss; recurring location</v>
      </c>
      <c r="T12" s="2" t="str">
        <f t="shared" si="8"/>
        <v>Recurring Hotspot</v>
      </c>
      <c r="U12" s="2" t="str">
        <f t="shared" si="9"/>
        <v>Inspect and repair the affected pipe; check the nearby line for related damage.</v>
      </c>
      <c r="V12" s="2" t="str">
        <f t="shared" si="10"/>
        <v>Schedule preventive inspection and review recurring causes.</v>
      </c>
    </row>
    <row r="13" spans="1:22" ht="165">
      <c r="A13" s="2" t="s">
        <v>66</v>
      </c>
      <c r="B13" s="3" t="s">
        <v>40</v>
      </c>
      <c r="C13" t="s">
        <v>41</v>
      </c>
      <c r="D13" t="s">
        <v>67</v>
      </c>
      <c r="E13" s="5">
        <v>46259.305555555555</v>
      </c>
      <c r="F13">
        <v>0.5</v>
      </c>
      <c r="G13" t="s">
        <v>43</v>
      </c>
      <c r="H13">
        <v>10</v>
      </c>
      <c r="I13" t="s">
        <v>44</v>
      </c>
      <c r="J13">
        <v>0</v>
      </c>
      <c r="K13" t="s">
        <v>34</v>
      </c>
      <c r="L13" s="2">
        <f t="shared" si="0"/>
        <v>60</v>
      </c>
      <c r="M13" s="2">
        <f t="shared" si="1"/>
        <v>2.083333333333333</v>
      </c>
      <c r="N13" s="2">
        <f t="shared" si="2"/>
        <v>10</v>
      </c>
      <c r="O13" s="2">
        <f t="shared" si="3"/>
        <v>50</v>
      </c>
      <c r="P13" s="2">
        <f t="shared" si="4"/>
        <v>0</v>
      </c>
      <c r="Q13" s="2">
        <f t="shared" si="5"/>
        <v>28.4</v>
      </c>
      <c r="R13" s="2" t="str">
        <f t="shared" si="6"/>
        <v>Low</v>
      </c>
      <c r="S13" s="2" t="str">
        <f t="shared" si="7"/>
        <v xml:space="preserve">moderate severity; </v>
      </c>
      <c r="T13" s="2" t="str">
        <f t="shared" si="8"/>
        <v>Recurring Hotspot</v>
      </c>
      <c r="U13" s="2" t="str">
        <f t="shared" si="9"/>
        <v>Inspect the irrigation hose, valve, or connection and repair the damaged section.</v>
      </c>
      <c r="V13" s="2" t="str">
        <f t="shared" si="10"/>
        <v>Schedule preventive inspection and review recurring causes.</v>
      </c>
    </row>
    <row r="14" spans="1:22" ht="135">
      <c r="A14" s="2" t="s">
        <v>68</v>
      </c>
      <c r="B14" s="3" t="s">
        <v>30</v>
      </c>
      <c r="C14" t="s">
        <v>52</v>
      </c>
      <c r="D14" t="s">
        <v>69</v>
      </c>
      <c r="E14" s="5">
        <v>46259.482638888891</v>
      </c>
      <c r="F14">
        <v>3</v>
      </c>
      <c r="G14" t="s">
        <v>43</v>
      </c>
      <c r="H14">
        <v>25</v>
      </c>
      <c r="I14" t="s">
        <v>27</v>
      </c>
      <c r="J14">
        <v>0</v>
      </c>
      <c r="K14" t="s">
        <v>54</v>
      </c>
      <c r="L14" s="2">
        <f t="shared" si="0"/>
        <v>60</v>
      </c>
      <c r="M14" s="2">
        <f t="shared" si="1"/>
        <v>12.5</v>
      </c>
      <c r="N14" s="2">
        <f t="shared" si="2"/>
        <v>25</v>
      </c>
      <c r="O14" s="2">
        <f t="shared" si="3"/>
        <v>100</v>
      </c>
      <c r="P14" s="2">
        <f t="shared" si="4"/>
        <v>0</v>
      </c>
      <c r="Q14" s="2">
        <f t="shared" si="5"/>
        <v>41.8</v>
      </c>
      <c r="R14" s="2" t="str">
        <f t="shared" si="6"/>
        <v>Medium</v>
      </c>
      <c r="S14" s="2" t="str">
        <f t="shared" si="7"/>
        <v xml:space="preserve">moderate severity; continuous water loss; </v>
      </c>
      <c r="T14" s="2" t="str">
        <f t="shared" si="8"/>
        <v>Recurring Hotspot</v>
      </c>
      <c r="U14" s="2" t="str">
        <f t="shared" si="9"/>
        <v>Inspect the plumbing fitting and repair the source of leakage.</v>
      </c>
      <c r="V14" s="2" t="str">
        <f t="shared" si="10"/>
        <v>Schedule preventive inspection and review recurring causes.</v>
      </c>
    </row>
    <row r="15" spans="1:22" ht="195">
      <c r="A15" s="2" t="s">
        <v>70</v>
      </c>
      <c r="B15" s="3" t="s">
        <v>48</v>
      </c>
      <c r="C15" t="s">
        <v>57</v>
      </c>
      <c r="D15" t="s">
        <v>71</v>
      </c>
      <c r="E15" s="5">
        <v>46260.375</v>
      </c>
      <c r="F15">
        <v>7</v>
      </c>
      <c r="G15" t="s">
        <v>26</v>
      </c>
      <c r="H15">
        <v>60</v>
      </c>
      <c r="I15" t="s">
        <v>27</v>
      </c>
      <c r="J15">
        <v>1</v>
      </c>
      <c r="K15" t="s">
        <v>28</v>
      </c>
      <c r="L15" s="2">
        <f t="shared" si="0"/>
        <v>100</v>
      </c>
      <c r="M15" s="2">
        <f t="shared" si="1"/>
        <v>29.166666666666668</v>
      </c>
      <c r="N15" s="2">
        <f t="shared" si="2"/>
        <v>60</v>
      </c>
      <c r="O15" s="2">
        <f t="shared" si="3"/>
        <v>100</v>
      </c>
      <c r="P15" s="2">
        <f t="shared" si="4"/>
        <v>20</v>
      </c>
      <c r="Q15" s="2">
        <f t="shared" si="5"/>
        <v>67.8</v>
      </c>
      <c r="R15" s="2" t="str">
        <f t="shared" si="6"/>
        <v>Medium</v>
      </c>
      <c r="S15" s="2" t="str">
        <f t="shared" si="7"/>
        <v xml:space="preserve">high severity; long duration; continuous water loss; </v>
      </c>
      <c r="T15" s="2" t="str">
        <f t="shared" si="8"/>
        <v>Recurring Hotspot</v>
      </c>
      <c r="U15" s="2" t="str">
        <f t="shared" si="9"/>
        <v>Inspect and isolate the affected water line if required, then repair the damaged section.</v>
      </c>
      <c r="V15" s="2" t="str">
        <f t="shared" si="10"/>
        <v>Schedule preventive inspection and review recurring causes.</v>
      </c>
    </row>
    <row r="16" spans="1:22" ht="180">
      <c r="A16" s="2" t="s">
        <v>72</v>
      </c>
      <c r="B16" s="3" t="s">
        <v>56</v>
      </c>
      <c r="C16" t="s">
        <v>24</v>
      </c>
      <c r="D16" t="s">
        <v>73</v>
      </c>
      <c r="E16" s="5">
        <v>46260.631944444445</v>
      </c>
      <c r="F16">
        <v>6</v>
      </c>
      <c r="G16" t="s">
        <v>43</v>
      </c>
      <c r="H16">
        <v>70</v>
      </c>
      <c r="I16" t="s">
        <v>27</v>
      </c>
      <c r="J16">
        <v>1</v>
      </c>
      <c r="K16" t="s">
        <v>54</v>
      </c>
      <c r="L16" s="2">
        <f t="shared" si="0"/>
        <v>60</v>
      </c>
      <c r="M16" s="2">
        <f t="shared" si="1"/>
        <v>25</v>
      </c>
      <c r="N16" s="2">
        <f t="shared" si="2"/>
        <v>70</v>
      </c>
      <c r="O16" s="2">
        <f t="shared" si="3"/>
        <v>100</v>
      </c>
      <c r="P16" s="2">
        <f t="shared" si="4"/>
        <v>20</v>
      </c>
      <c r="Q16" s="2">
        <f t="shared" si="5"/>
        <v>57.5</v>
      </c>
      <c r="R16" s="2" t="str">
        <f t="shared" si="6"/>
        <v>Medium</v>
      </c>
      <c r="S16" s="2" t="str">
        <f t="shared" si="7"/>
        <v xml:space="preserve">moderate severity; long duration; high potential impact; continuous water loss; </v>
      </c>
      <c r="T16" s="2" t="str">
        <f t="shared" si="8"/>
        <v>Recurring Hotspot</v>
      </c>
      <c r="U16" s="2" t="str">
        <f t="shared" si="9"/>
        <v>Inspect and repair the affected pipe; check the nearby line for related damage.</v>
      </c>
      <c r="V16" s="2" t="str">
        <f t="shared" si="10"/>
        <v>Schedule preventive inspection and review recurring causes.</v>
      </c>
    </row>
    <row r="17" spans="1:22" ht="120">
      <c r="A17" s="2" t="s">
        <v>74</v>
      </c>
      <c r="B17" s="3" t="s">
        <v>51</v>
      </c>
      <c r="C17" t="s">
        <v>31</v>
      </c>
      <c r="D17" t="s">
        <v>75</v>
      </c>
      <c r="E17" s="5">
        <v>46261.447916666664</v>
      </c>
      <c r="F17">
        <v>48</v>
      </c>
      <c r="G17" t="s">
        <v>33</v>
      </c>
      <c r="H17">
        <v>30</v>
      </c>
      <c r="I17" t="s">
        <v>27</v>
      </c>
      <c r="J17">
        <v>0</v>
      </c>
      <c r="K17" t="s">
        <v>34</v>
      </c>
      <c r="L17" s="2">
        <f t="shared" si="0"/>
        <v>25</v>
      </c>
      <c r="M17" s="2">
        <f t="shared" si="1"/>
        <v>100</v>
      </c>
      <c r="N17" s="2">
        <f t="shared" si="2"/>
        <v>30</v>
      </c>
      <c r="O17" s="2">
        <f t="shared" si="3"/>
        <v>100</v>
      </c>
      <c r="P17" s="2">
        <f t="shared" si="4"/>
        <v>0</v>
      </c>
      <c r="Q17" s="2">
        <f t="shared" si="5"/>
        <v>50</v>
      </c>
      <c r="R17" s="2" t="str">
        <f t="shared" si="6"/>
        <v>Medium</v>
      </c>
      <c r="S17" s="2" t="str">
        <f t="shared" si="7"/>
        <v xml:space="preserve">long duration; continuous water loss; </v>
      </c>
      <c r="T17" s="2" t="str">
        <f t="shared" si="8"/>
        <v>Recurring Hotspot</v>
      </c>
      <c r="U17" s="2" t="str">
        <f t="shared" si="9"/>
        <v>Inspect the tap and repair or replace the faulty fitting.</v>
      </c>
      <c r="V17" s="2" t="str">
        <f t="shared" si="10"/>
        <v>Schedule preventive inspection and review recurring causes.</v>
      </c>
    </row>
    <row r="18" spans="1:22" ht="180">
      <c r="A18" s="2" t="s">
        <v>76</v>
      </c>
      <c r="B18" s="3" t="s">
        <v>23</v>
      </c>
      <c r="C18" t="s">
        <v>24</v>
      </c>
      <c r="D18" t="s">
        <v>77</v>
      </c>
      <c r="E18" s="5">
        <v>46262.34375</v>
      </c>
      <c r="F18">
        <v>12</v>
      </c>
      <c r="G18" t="s">
        <v>26</v>
      </c>
      <c r="H18">
        <v>80</v>
      </c>
      <c r="I18" t="s">
        <v>27</v>
      </c>
      <c r="J18">
        <v>3</v>
      </c>
      <c r="K18" t="s">
        <v>28</v>
      </c>
      <c r="L18" s="2">
        <f t="shared" si="0"/>
        <v>100</v>
      </c>
      <c r="M18" s="2">
        <f t="shared" si="1"/>
        <v>50</v>
      </c>
      <c r="N18" s="2">
        <f t="shared" si="2"/>
        <v>80</v>
      </c>
      <c r="O18" s="2">
        <f t="shared" si="3"/>
        <v>100</v>
      </c>
      <c r="P18" s="2">
        <f t="shared" si="4"/>
        <v>60</v>
      </c>
      <c r="Q18" s="2">
        <f t="shared" si="5"/>
        <v>81</v>
      </c>
      <c r="R18" s="2" t="str">
        <f t="shared" si="6"/>
        <v>High</v>
      </c>
      <c r="S18" s="2" t="str">
        <f t="shared" si="7"/>
        <v>high severity; long duration; high potential impact; continuous water loss; recurring location</v>
      </c>
      <c r="T18" s="2" t="str">
        <f t="shared" si="8"/>
        <v>Recurring Hotspot</v>
      </c>
      <c r="U18" s="2" t="str">
        <f t="shared" si="9"/>
        <v>Inspect and repair the affected pipe; check the nearby line for related damage.</v>
      </c>
      <c r="V18" s="2" t="str">
        <f t="shared" si="10"/>
        <v>Schedule preventive inspection and review recurring causes.</v>
      </c>
    </row>
    <row r="19" spans="1:22" ht="165">
      <c r="A19" s="2" t="s">
        <v>78</v>
      </c>
      <c r="B19" s="3" t="s">
        <v>36</v>
      </c>
      <c r="C19" t="s">
        <v>37</v>
      </c>
      <c r="D19" t="s">
        <v>79</v>
      </c>
      <c r="E19" s="5">
        <v>46262.545138888891</v>
      </c>
      <c r="F19">
        <v>1.5</v>
      </c>
      <c r="G19" t="s">
        <v>26</v>
      </c>
      <c r="H19">
        <v>100</v>
      </c>
      <c r="I19" t="s">
        <v>27</v>
      </c>
      <c r="J19">
        <v>2</v>
      </c>
      <c r="K19" t="s">
        <v>54</v>
      </c>
      <c r="L19" s="2">
        <f t="shared" si="0"/>
        <v>100</v>
      </c>
      <c r="M19" s="2">
        <f t="shared" si="1"/>
        <v>6.25</v>
      </c>
      <c r="N19" s="2">
        <f t="shared" si="2"/>
        <v>100</v>
      </c>
      <c r="O19" s="2">
        <f t="shared" si="3"/>
        <v>100</v>
      </c>
      <c r="P19" s="2">
        <f t="shared" si="4"/>
        <v>40</v>
      </c>
      <c r="Q19" s="2">
        <f t="shared" si="5"/>
        <v>75.3</v>
      </c>
      <c r="R19" s="2" t="str">
        <f t="shared" si="6"/>
        <v>High</v>
      </c>
      <c r="S19" s="2" t="str">
        <f t="shared" si="7"/>
        <v>high severity; high potential impact; continuous water loss; recurring location</v>
      </c>
      <c r="T19" s="2" t="str">
        <f t="shared" si="8"/>
        <v>Recurring Hotspot</v>
      </c>
      <c r="U19" s="2" t="str">
        <f t="shared" si="9"/>
        <v>Inspect the level-control or valve mechanism and stop unnecessary overflow.</v>
      </c>
      <c r="V19" s="2" t="str">
        <f t="shared" si="10"/>
        <v>Schedule preventive inspection and review recurring causes.</v>
      </c>
    </row>
    <row r="20" spans="1:22" ht="165">
      <c r="A20" s="2" t="s">
        <v>80</v>
      </c>
      <c r="B20" s="3" t="s">
        <v>60</v>
      </c>
      <c r="C20" t="s">
        <v>41</v>
      </c>
      <c r="D20" t="s">
        <v>81</v>
      </c>
      <c r="E20" s="5">
        <v>46263.329861111109</v>
      </c>
      <c r="F20">
        <v>2</v>
      </c>
      <c r="G20" t="s">
        <v>33</v>
      </c>
      <c r="H20">
        <v>10</v>
      </c>
      <c r="I20" t="s">
        <v>44</v>
      </c>
      <c r="J20">
        <v>0</v>
      </c>
      <c r="K20" t="s">
        <v>34</v>
      </c>
      <c r="L20" s="2">
        <f t="shared" si="0"/>
        <v>25</v>
      </c>
      <c r="M20" s="2">
        <f t="shared" si="1"/>
        <v>8.3333333333333321</v>
      </c>
      <c r="N20" s="2">
        <f t="shared" si="2"/>
        <v>10</v>
      </c>
      <c r="O20" s="2">
        <f t="shared" si="3"/>
        <v>50</v>
      </c>
      <c r="P20" s="2">
        <f t="shared" si="4"/>
        <v>0</v>
      </c>
      <c r="Q20" s="2">
        <f t="shared" si="5"/>
        <v>19.2</v>
      </c>
      <c r="R20" s="2" t="str">
        <f t="shared" si="6"/>
        <v>Low</v>
      </c>
      <c r="S20" s="2" t="str">
        <f t="shared" si="7"/>
        <v/>
      </c>
      <c r="T20" s="2" t="str">
        <f t="shared" si="8"/>
        <v>Recurring Hotspot</v>
      </c>
      <c r="U20" s="2" t="str">
        <f t="shared" si="9"/>
        <v>Inspect the irrigation hose, valve, or connection and repair the damaged section.</v>
      </c>
      <c r="V20" s="2" t="str">
        <f t="shared" si="10"/>
        <v>Schedule preventive inspection and review recurring causes.</v>
      </c>
    </row>
    <row r="21" spans="1:22" ht="195">
      <c r="A21" s="2" t="s">
        <v>82</v>
      </c>
      <c r="B21" s="3" t="s">
        <v>23</v>
      </c>
      <c r="C21" t="s">
        <v>57</v>
      </c>
      <c r="D21" t="s">
        <v>83</v>
      </c>
      <c r="E21" s="5">
        <v>46263.729166666664</v>
      </c>
      <c r="F21">
        <v>9</v>
      </c>
      <c r="G21" t="s">
        <v>26</v>
      </c>
      <c r="H21">
        <v>80</v>
      </c>
      <c r="I21" t="s">
        <v>27</v>
      </c>
      <c r="J21">
        <v>4</v>
      </c>
      <c r="K21" t="s">
        <v>28</v>
      </c>
      <c r="L21" s="2">
        <f t="shared" si="0"/>
        <v>100</v>
      </c>
      <c r="M21" s="2">
        <f t="shared" si="1"/>
        <v>37.5</v>
      </c>
      <c r="N21" s="2">
        <f t="shared" si="2"/>
        <v>80</v>
      </c>
      <c r="O21" s="2">
        <f t="shared" si="3"/>
        <v>100</v>
      </c>
      <c r="P21" s="2">
        <f t="shared" si="4"/>
        <v>80</v>
      </c>
      <c r="Q21" s="2">
        <f t="shared" si="5"/>
        <v>80.5</v>
      </c>
      <c r="R21" s="2" t="str">
        <f t="shared" si="6"/>
        <v>High</v>
      </c>
      <c r="S21" s="2" t="str">
        <f t="shared" si="7"/>
        <v>high severity; long duration; high potential impact; continuous water loss; recurring location</v>
      </c>
      <c r="T21" s="2" t="str">
        <f t="shared" si="8"/>
        <v>Recurring Hotspot</v>
      </c>
      <c r="U21" s="2" t="str">
        <f t="shared" si="9"/>
        <v>Inspect and isolate the affected water line if required, then repair the damaged section.</v>
      </c>
      <c r="V21" s="2" t="str">
        <f t="shared" si="10"/>
        <v>Schedule preventive inspection and review recurring causes.</v>
      </c>
    </row>
    <row r="22" spans="1:22" ht="135">
      <c r="A22" s="2" t="s">
        <v>84</v>
      </c>
      <c r="B22" s="3" t="s">
        <v>56</v>
      </c>
      <c r="C22" t="s">
        <v>52</v>
      </c>
      <c r="D22" t="s">
        <v>85</v>
      </c>
      <c r="E22" s="5">
        <v>46264.277777777781</v>
      </c>
      <c r="F22">
        <v>5</v>
      </c>
      <c r="G22" t="s">
        <v>43</v>
      </c>
      <c r="H22">
        <v>70</v>
      </c>
      <c r="I22" t="s">
        <v>27</v>
      </c>
      <c r="J22">
        <v>1</v>
      </c>
      <c r="K22" t="s">
        <v>28</v>
      </c>
      <c r="L22" s="2">
        <f t="shared" si="0"/>
        <v>60</v>
      </c>
      <c r="M22" s="2">
        <f t="shared" si="1"/>
        <v>20.833333333333336</v>
      </c>
      <c r="N22" s="2">
        <f t="shared" si="2"/>
        <v>70</v>
      </c>
      <c r="O22" s="2">
        <f t="shared" si="3"/>
        <v>100</v>
      </c>
      <c r="P22" s="2">
        <f t="shared" si="4"/>
        <v>20</v>
      </c>
      <c r="Q22" s="2">
        <f t="shared" si="5"/>
        <v>56.7</v>
      </c>
      <c r="R22" s="2" t="str">
        <f t="shared" si="6"/>
        <v>Medium</v>
      </c>
      <c r="S22" s="2" t="str">
        <f t="shared" si="7"/>
        <v xml:space="preserve">moderate severity; high potential impact; continuous water loss; </v>
      </c>
      <c r="T22" s="2" t="str">
        <f t="shared" si="8"/>
        <v>Recurring Hotspot</v>
      </c>
      <c r="U22" s="2" t="str">
        <f t="shared" si="9"/>
        <v>Inspect the plumbing fitting and repair the source of leakage.</v>
      </c>
      <c r="V22" s="2" t="str">
        <f t="shared" si="10"/>
        <v>Schedule preventive inspection and review recurring causes.</v>
      </c>
    </row>
    <row r="23" spans="1:22" ht="120">
      <c r="A23" s="2" t="s">
        <v>86</v>
      </c>
      <c r="B23" s="3" t="s">
        <v>48</v>
      </c>
      <c r="C23" t="s">
        <v>31</v>
      </c>
      <c r="D23" t="s">
        <v>87</v>
      </c>
      <c r="E23" s="5">
        <v>46264.590277777781</v>
      </c>
      <c r="F23">
        <v>12</v>
      </c>
      <c r="G23" t="s">
        <v>33</v>
      </c>
      <c r="H23">
        <v>20</v>
      </c>
      <c r="I23" t="s">
        <v>27</v>
      </c>
      <c r="J23">
        <v>1</v>
      </c>
      <c r="K23" t="s">
        <v>34</v>
      </c>
      <c r="L23" s="2">
        <f t="shared" si="0"/>
        <v>25</v>
      </c>
      <c r="M23" s="2">
        <f t="shared" si="1"/>
        <v>50</v>
      </c>
      <c r="N23" s="2">
        <f t="shared" si="2"/>
        <v>20</v>
      </c>
      <c r="O23" s="2">
        <f t="shared" si="3"/>
        <v>100</v>
      </c>
      <c r="P23" s="2">
        <f t="shared" si="4"/>
        <v>20</v>
      </c>
      <c r="Q23" s="2">
        <f t="shared" si="5"/>
        <v>39.5</v>
      </c>
      <c r="R23" s="2" t="str">
        <f t="shared" si="6"/>
        <v>Low</v>
      </c>
      <c r="S23" s="2" t="str">
        <f t="shared" si="7"/>
        <v xml:space="preserve">long duration; continuous water loss; </v>
      </c>
      <c r="T23" s="2" t="str">
        <f t="shared" si="8"/>
        <v>Recurring Hotspot</v>
      </c>
      <c r="U23" s="2" t="str">
        <f t="shared" si="9"/>
        <v>Inspect the tap and repair or replace the faulty fitting.</v>
      </c>
      <c r="V23" s="2" t="str">
        <f t="shared" si="10"/>
        <v>Schedule preventive inspection and review recurring causes.</v>
      </c>
    </row>
    <row r="24" spans="1:22" ht="195">
      <c r="A24" t="s">
        <v>88</v>
      </c>
      <c r="B24" t="s">
        <v>36</v>
      </c>
      <c r="C24" t="s">
        <v>57</v>
      </c>
      <c r="D24" t="s">
        <v>89</v>
      </c>
      <c r="E24" s="5">
        <v>46265.392361111109</v>
      </c>
      <c r="F24">
        <v>4</v>
      </c>
      <c r="G24" t="s">
        <v>26</v>
      </c>
      <c r="H24">
        <v>100</v>
      </c>
      <c r="I24" t="s">
        <v>27</v>
      </c>
      <c r="J24">
        <v>2</v>
      </c>
      <c r="K24" t="s">
        <v>28</v>
      </c>
      <c r="L24" s="2">
        <f t="shared" si="0"/>
        <v>100</v>
      </c>
      <c r="M24" s="2">
        <f t="shared" si="1"/>
        <v>16.666666666666664</v>
      </c>
      <c r="N24" s="2">
        <f t="shared" si="2"/>
        <v>100</v>
      </c>
      <c r="O24" s="2">
        <f t="shared" si="3"/>
        <v>100</v>
      </c>
      <c r="P24" s="2">
        <f t="shared" si="4"/>
        <v>40</v>
      </c>
      <c r="Q24" s="2">
        <f t="shared" si="5"/>
        <v>77.3</v>
      </c>
      <c r="R24" s="2" t="str">
        <f t="shared" si="6"/>
        <v>High</v>
      </c>
      <c r="S24" s="2" t="str">
        <f t="shared" si="7"/>
        <v>high severity; high potential impact; continuous water loss; recurring location</v>
      </c>
      <c r="T24" s="2" t="str">
        <f t="shared" si="8"/>
        <v>Recurring Hotspot</v>
      </c>
      <c r="U24" s="2" t="str">
        <f t="shared" si="9"/>
        <v>Inspect and isolate the affected water line if required, then repair the damaged section.</v>
      </c>
      <c r="V24" s="2" t="str">
        <f t="shared" si="10"/>
        <v>Schedule preventive inspection and review recurring causes.</v>
      </c>
    </row>
    <row r="25" spans="1:22" ht="165">
      <c r="A25" t="s">
        <v>90</v>
      </c>
      <c r="B25" t="s">
        <v>40</v>
      </c>
      <c r="C25" t="s">
        <v>41</v>
      </c>
      <c r="D25" t="s">
        <v>91</v>
      </c>
      <c r="E25" s="5">
        <v>46265.666666666664</v>
      </c>
      <c r="F25">
        <v>3</v>
      </c>
      <c r="G25" t="s">
        <v>43</v>
      </c>
      <c r="H25">
        <v>15</v>
      </c>
      <c r="I25" t="s">
        <v>44</v>
      </c>
      <c r="J25">
        <v>1</v>
      </c>
      <c r="K25" t="s">
        <v>34</v>
      </c>
      <c r="L25" s="2">
        <f t="shared" si="0"/>
        <v>60</v>
      </c>
      <c r="M25" s="2">
        <f t="shared" si="1"/>
        <v>12.5</v>
      </c>
      <c r="N25" s="2">
        <f t="shared" si="2"/>
        <v>15</v>
      </c>
      <c r="O25" s="2">
        <f t="shared" si="3"/>
        <v>50</v>
      </c>
      <c r="P25" s="2">
        <f t="shared" si="4"/>
        <v>20</v>
      </c>
      <c r="Q25" s="2">
        <f t="shared" si="5"/>
        <v>33.799999999999997</v>
      </c>
      <c r="R25" s="2" t="str">
        <f t="shared" si="6"/>
        <v>Low</v>
      </c>
      <c r="S25" s="2" t="str">
        <f t="shared" si="7"/>
        <v xml:space="preserve">moderate severity; </v>
      </c>
      <c r="T25" s="2" t="str">
        <f t="shared" si="8"/>
        <v>Recurring Hotspot</v>
      </c>
      <c r="U25" s="2" t="str">
        <f t="shared" si="9"/>
        <v>Inspect the irrigation hose, valve, or connection and repair the damaged section.</v>
      </c>
      <c r="V25" s="2" t="str">
        <f t="shared" si="10"/>
        <v>Schedule preventive inspection and review recurring causes.</v>
      </c>
    </row>
    <row r="26" spans="1:22" ht="180">
      <c r="A26" t="s">
        <v>92</v>
      </c>
      <c r="B26" t="s">
        <v>23</v>
      </c>
      <c r="C26" t="s">
        <v>24</v>
      </c>
      <c r="D26" t="s">
        <v>93</v>
      </c>
      <c r="E26" s="5">
        <v>46266.3125</v>
      </c>
      <c r="F26">
        <v>4</v>
      </c>
      <c r="G26" t="s">
        <v>26</v>
      </c>
      <c r="H26">
        <v>80</v>
      </c>
      <c r="I26" t="s">
        <v>27</v>
      </c>
      <c r="J26">
        <v>5</v>
      </c>
      <c r="K26" t="s">
        <v>28</v>
      </c>
      <c r="L26" s="2">
        <f t="shared" si="0"/>
        <v>100</v>
      </c>
      <c r="M26" s="2">
        <f t="shared" si="1"/>
        <v>16.666666666666664</v>
      </c>
      <c r="N26" s="2">
        <f t="shared" si="2"/>
        <v>80</v>
      </c>
      <c r="O26" s="2">
        <f t="shared" si="3"/>
        <v>100</v>
      </c>
      <c r="P26" s="2">
        <f t="shared" si="4"/>
        <v>100</v>
      </c>
      <c r="Q26" s="2">
        <f t="shared" si="5"/>
        <v>78.3</v>
      </c>
      <c r="R26" s="2" t="str">
        <f t="shared" si="6"/>
        <v>High</v>
      </c>
      <c r="S26" s="2" t="str">
        <f t="shared" si="7"/>
        <v>high severity; high potential impact; continuous water loss; recurring location</v>
      </c>
      <c r="T26" s="2" t="str">
        <f t="shared" si="8"/>
        <v>Recurring Hotspot</v>
      </c>
      <c r="U26" s="2" t="str">
        <f t="shared" si="9"/>
        <v>Inspect and repair the affected pipe; check the nearby line for related damage.</v>
      </c>
      <c r="V26" s="2" t="str">
        <f t="shared" si="10"/>
        <v>Schedule preventive inspection and review recurring causes.</v>
      </c>
    </row>
    <row r="27" spans="1:22" ht="120">
      <c r="A27" t="s">
        <v>94</v>
      </c>
      <c r="B27" t="s">
        <v>51</v>
      </c>
      <c r="C27" t="s">
        <v>31</v>
      </c>
      <c r="D27" t="s">
        <v>95</v>
      </c>
      <c r="E27" s="5">
        <v>46266.472222222219</v>
      </c>
      <c r="F27">
        <v>1</v>
      </c>
      <c r="G27" t="s">
        <v>33</v>
      </c>
      <c r="H27">
        <v>15</v>
      </c>
      <c r="I27" t="s">
        <v>44</v>
      </c>
      <c r="J27">
        <v>1</v>
      </c>
      <c r="K27" t="s">
        <v>34</v>
      </c>
      <c r="L27" s="2">
        <f t="shared" si="0"/>
        <v>25</v>
      </c>
      <c r="M27" s="2">
        <f t="shared" si="1"/>
        <v>4.1666666666666661</v>
      </c>
      <c r="N27" s="2">
        <f t="shared" si="2"/>
        <v>15</v>
      </c>
      <c r="O27" s="2">
        <f t="shared" si="3"/>
        <v>50</v>
      </c>
      <c r="P27" s="2">
        <f t="shared" si="4"/>
        <v>20</v>
      </c>
      <c r="Q27" s="2">
        <f t="shared" si="5"/>
        <v>21.6</v>
      </c>
      <c r="R27" s="2" t="str">
        <f t="shared" si="6"/>
        <v>Low</v>
      </c>
      <c r="S27" s="2" t="str">
        <f t="shared" si="7"/>
        <v/>
      </c>
      <c r="T27" s="2" t="str">
        <f t="shared" si="8"/>
        <v>Recurring Hotspot</v>
      </c>
      <c r="U27" s="2" t="str">
        <f t="shared" si="9"/>
        <v>Inspect the tap and repair or replace the faulty fitting.</v>
      </c>
      <c r="V27" s="2" t="str">
        <f t="shared" si="10"/>
        <v>Schedule preventive inspection and review recurring causes.</v>
      </c>
    </row>
    <row r="28" spans="1:22" ht="195">
      <c r="A28" t="s">
        <v>96</v>
      </c>
      <c r="B28" t="s">
        <v>56</v>
      </c>
      <c r="C28" t="s">
        <v>57</v>
      </c>
      <c r="D28" t="s">
        <v>97</v>
      </c>
      <c r="E28" s="5">
        <v>46267.368055555555</v>
      </c>
      <c r="F28">
        <v>8</v>
      </c>
      <c r="G28" t="s">
        <v>26</v>
      </c>
      <c r="H28">
        <v>120</v>
      </c>
      <c r="I28" t="s">
        <v>27</v>
      </c>
      <c r="J28">
        <v>2</v>
      </c>
      <c r="K28" t="s">
        <v>28</v>
      </c>
      <c r="L28" s="2">
        <f t="shared" si="0"/>
        <v>100</v>
      </c>
      <c r="M28" s="2">
        <f t="shared" si="1"/>
        <v>33.333333333333329</v>
      </c>
      <c r="N28" s="2">
        <f t="shared" si="2"/>
        <v>100</v>
      </c>
      <c r="O28" s="2">
        <f t="shared" si="3"/>
        <v>100</v>
      </c>
      <c r="P28" s="2">
        <f t="shared" si="4"/>
        <v>40</v>
      </c>
      <c r="Q28" s="2">
        <f t="shared" si="5"/>
        <v>80.7</v>
      </c>
      <c r="R28" s="2" t="str">
        <f t="shared" si="6"/>
        <v>High</v>
      </c>
      <c r="S28" s="2" t="str">
        <f t="shared" si="7"/>
        <v>high severity; long duration; high potential impact; continuous water loss; recurring location</v>
      </c>
      <c r="T28" s="2" t="str">
        <f t="shared" si="8"/>
        <v>Recurring Hotspot</v>
      </c>
      <c r="U28" s="2" t="str">
        <f t="shared" si="9"/>
        <v>Inspect and isolate the affected water line if required, then repair the damaged section.</v>
      </c>
      <c r="V28" s="2" t="str">
        <f t="shared" si="10"/>
        <v>Schedule preventive inspection and review recurring causes.</v>
      </c>
    </row>
    <row r="29" spans="1:22" ht="120">
      <c r="A29" t="s">
        <v>98</v>
      </c>
      <c r="B29" t="s">
        <v>30</v>
      </c>
      <c r="C29" t="s">
        <v>31</v>
      </c>
      <c r="D29" t="s">
        <v>99</v>
      </c>
      <c r="E29" s="5">
        <v>46267.569444444445</v>
      </c>
      <c r="F29">
        <v>2</v>
      </c>
      <c r="G29" t="s">
        <v>33</v>
      </c>
      <c r="H29">
        <v>10</v>
      </c>
      <c r="I29" t="s">
        <v>44</v>
      </c>
      <c r="J29">
        <v>1</v>
      </c>
      <c r="K29" t="s">
        <v>34</v>
      </c>
      <c r="L29" s="2">
        <f t="shared" si="0"/>
        <v>25</v>
      </c>
      <c r="M29" s="2">
        <f t="shared" si="1"/>
        <v>8.3333333333333321</v>
      </c>
      <c r="N29" s="2">
        <f t="shared" si="2"/>
        <v>10</v>
      </c>
      <c r="O29" s="2">
        <f t="shared" si="3"/>
        <v>50</v>
      </c>
      <c r="P29" s="2">
        <f t="shared" si="4"/>
        <v>20</v>
      </c>
      <c r="Q29" s="2">
        <f t="shared" si="5"/>
        <v>21.2</v>
      </c>
      <c r="R29" s="2" t="str">
        <f t="shared" si="6"/>
        <v>Low</v>
      </c>
      <c r="S29" s="2" t="str">
        <f t="shared" si="7"/>
        <v/>
      </c>
      <c r="T29" s="2" t="str">
        <f t="shared" si="8"/>
        <v>Recurring Hotspot</v>
      </c>
      <c r="U29" s="2" t="str">
        <f t="shared" si="9"/>
        <v>Inspect the tap and repair or replace the faulty fitting.</v>
      </c>
      <c r="V29" s="2" t="str">
        <f t="shared" si="10"/>
        <v>Schedule preventive inspection and review recurring causes.</v>
      </c>
    </row>
    <row r="30" spans="1:22" ht="165">
      <c r="A30" t="s">
        <v>100</v>
      </c>
      <c r="B30" t="s">
        <v>36</v>
      </c>
      <c r="C30" t="s">
        <v>37</v>
      </c>
      <c r="D30" t="s">
        <v>101</v>
      </c>
      <c r="E30" s="5">
        <v>46268.385416666664</v>
      </c>
      <c r="F30">
        <v>2.5</v>
      </c>
      <c r="G30" t="s">
        <v>26</v>
      </c>
      <c r="H30">
        <v>100</v>
      </c>
      <c r="I30" t="s">
        <v>27</v>
      </c>
      <c r="J30">
        <v>3</v>
      </c>
      <c r="K30" t="s">
        <v>28</v>
      </c>
      <c r="L30" s="2">
        <f t="shared" si="0"/>
        <v>100</v>
      </c>
      <c r="M30" s="2">
        <f t="shared" si="1"/>
        <v>10.416666666666668</v>
      </c>
      <c r="N30" s="2">
        <f t="shared" si="2"/>
        <v>100</v>
      </c>
      <c r="O30" s="2">
        <f t="shared" si="3"/>
        <v>100</v>
      </c>
      <c r="P30" s="2">
        <f t="shared" si="4"/>
        <v>60</v>
      </c>
      <c r="Q30" s="2">
        <f t="shared" si="5"/>
        <v>78.099999999999994</v>
      </c>
      <c r="R30" s="2" t="str">
        <f t="shared" si="6"/>
        <v>High</v>
      </c>
      <c r="S30" s="2" t="str">
        <f t="shared" si="7"/>
        <v>high severity; high potential impact; continuous water loss; recurring location</v>
      </c>
      <c r="T30" s="2" t="str">
        <f t="shared" si="8"/>
        <v>Recurring Hotspot</v>
      </c>
      <c r="U30" s="2" t="str">
        <f t="shared" si="9"/>
        <v>Inspect the level-control or valve mechanism and stop unnecessary overflow.</v>
      </c>
      <c r="V30" s="2" t="str">
        <f t="shared" si="10"/>
        <v>Schedule preventive inspection and review recurring causes.</v>
      </c>
    </row>
    <row r="31" spans="1:22" ht="180">
      <c r="A31" t="s">
        <v>102</v>
      </c>
      <c r="B31" t="s">
        <v>23</v>
      </c>
      <c r="C31" t="s">
        <v>24</v>
      </c>
      <c r="D31" t="s">
        <v>103</v>
      </c>
      <c r="E31" s="5">
        <v>46268.75</v>
      </c>
      <c r="F31">
        <v>3</v>
      </c>
      <c r="G31" t="s">
        <v>26</v>
      </c>
      <c r="H31">
        <v>100</v>
      </c>
      <c r="I31" t="s">
        <v>27</v>
      </c>
      <c r="J31">
        <v>6</v>
      </c>
      <c r="K31" t="s">
        <v>28</v>
      </c>
      <c r="L31" s="2">
        <f t="shared" si="0"/>
        <v>100</v>
      </c>
      <c r="M31" s="2">
        <f t="shared" si="1"/>
        <v>12.5</v>
      </c>
      <c r="N31" s="2">
        <f t="shared" si="2"/>
        <v>100</v>
      </c>
      <c r="O31" s="2">
        <f t="shared" si="3"/>
        <v>100</v>
      </c>
      <c r="P31" s="2">
        <f t="shared" si="4"/>
        <v>100</v>
      </c>
      <c r="Q31" s="2">
        <f t="shared" si="5"/>
        <v>82.5</v>
      </c>
      <c r="R31" s="2" t="str">
        <f t="shared" si="6"/>
        <v>High</v>
      </c>
      <c r="S31" s="2" t="str">
        <f t="shared" si="7"/>
        <v>high severity; high potential impact; continuous water loss; recurring location</v>
      </c>
      <c r="T31" s="2" t="str">
        <f t="shared" si="8"/>
        <v>Recurring Hotspot</v>
      </c>
      <c r="U31" s="2" t="str">
        <f t="shared" si="9"/>
        <v>Inspect and repair the affected pipe; check the nearby line for related damage.</v>
      </c>
      <c r="V31" s="2" t="str">
        <f t="shared" si="10"/>
        <v>Schedule preventive inspection and review recurring causes.</v>
      </c>
    </row>
    <row r="32" spans="1:22" ht="195">
      <c r="A32" t="s">
        <v>104</v>
      </c>
      <c r="B32" t="s">
        <v>56</v>
      </c>
      <c r="C32" t="s">
        <v>24</v>
      </c>
      <c r="D32" t="s">
        <v>105</v>
      </c>
      <c r="E32" s="5">
        <v>46269.319444444445</v>
      </c>
      <c r="F32">
        <v>7</v>
      </c>
      <c r="G32" t="s">
        <v>43</v>
      </c>
      <c r="H32">
        <v>75</v>
      </c>
      <c r="I32" t="s">
        <v>27</v>
      </c>
      <c r="J32">
        <v>2</v>
      </c>
      <c r="K32" t="s">
        <v>28</v>
      </c>
      <c r="L32" s="2">
        <f t="shared" si="0"/>
        <v>60</v>
      </c>
      <c r="M32" s="2">
        <f t="shared" si="1"/>
        <v>29.166666666666668</v>
      </c>
      <c r="N32" s="2">
        <f t="shared" si="2"/>
        <v>75</v>
      </c>
      <c r="O32" s="2">
        <f t="shared" si="3"/>
        <v>100</v>
      </c>
      <c r="P32" s="2">
        <f t="shared" si="4"/>
        <v>40</v>
      </c>
      <c r="Q32" s="2">
        <f t="shared" si="5"/>
        <v>61.6</v>
      </c>
      <c r="R32" s="2" t="str">
        <f t="shared" si="6"/>
        <v>Medium</v>
      </c>
      <c r="S32" s="2" t="str">
        <f t="shared" si="7"/>
        <v>moderate severity; long duration; high potential impact; continuous water loss; recurring location</v>
      </c>
      <c r="T32" s="2" t="str">
        <f t="shared" si="8"/>
        <v>Recurring Hotspot</v>
      </c>
      <c r="U32" s="2" t="str">
        <f t="shared" si="9"/>
        <v>Inspect and repair the affected pipe; check the nearby line for related damage.</v>
      </c>
      <c r="V32" s="2" t="str">
        <f t="shared" si="10"/>
        <v>Schedule preventive inspection and review recurring causes.</v>
      </c>
    </row>
    <row r="33" spans="1:22" ht="120">
      <c r="A33" t="s">
        <v>106</v>
      </c>
      <c r="B33" t="s">
        <v>30</v>
      </c>
      <c r="C33" t="s">
        <v>31</v>
      </c>
      <c r="D33" t="s">
        <v>107</v>
      </c>
      <c r="E33" s="5">
        <v>46269.506944444445</v>
      </c>
      <c r="F33">
        <v>9</v>
      </c>
      <c r="G33" t="s">
        <v>33</v>
      </c>
      <c r="H33">
        <v>15</v>
      </c>
      <c r="I33" t="s">
        <v>27</v>
      </c>
      <c r="J33">
        <v>1</v>
      </c>
      <c r="K33" t="s">
        <v>54</v>
      </c>
      <c r="L33" s="2">
        <f t="shared" si="0"/>
        <v>25</v>
      </c>
      <c r="M33" s="2">
        <f t="shared" si="1"/>
        <v>37.5</v>
      </c>
      <c r="N33" s="2">
        <f t="shared" si="2"/>
        <v>15</v>
      </c>
      <c r="O33" s="2">
        <f t="shared" si="3"/>
        <v>100</v>
      </c>
      <c r="P33" s="2">
        <f t="shared" si="4"/>
        <v>20</v>
      </c>
      <c r="Q33" s="2">
        <f t="shared" si="5"/>
        <v>35.799999999999997</v>
      </c>
      <c r="R33" s="2" t="str">
        <f t="shared" si="6"/>
        <v>Low</v>
      </c>
      <c r="S33" s="2" t="str">
        <f t="shared" si="7"/>
        <v xml:space="preserve">long duration; continuous water loss; </v>
      </c>
      <c r="T33" s="2" t="str">
        <f t="shared" si="8"/>
        <v>Recurring Hotspot</v>
      </c>
      <c r="U33" s="2" t="str">
        <f t="shared" si="9"/>
        <v>Inspect the tap and repair or replace the faulty fitting.</v>
      </c>
      <c r="V33" s="2" t="str">
        <f t="shared" si="10"/>
        <v>Schedule preventive inspection and review recurring causes.</v>
      </c>
    </row>
    <row r="34" spans="1:22" ht="165">
      <c r="A34" t="s">
        <v>108</v>
      </c>
      <c r="B34" t="s">
        <v>36</v>
      </c>
      <c r="C34" t="s">
        <v>37</v>
      </c>
      <c r="D34" t="s">
        <v>109</v>
      </c>
      <c r="E34" s="5">
        <v>46269.645833333336</v>
      </c>
      <c r="F34">
        <v>2</v>
      </c>
      <c r="G34" t="s">
        <v>26</v>
      </c>
      <c r="H34">
        <v>90</v>
      </c>
      <c r="I34" t="s">
        <v>27</v>
      </c>
      <c r="J34">
        <v>2</v>
      </c>
      <c r="K34" t="s">
        <v>28</v>
      </c>
      <c r="L34" s="2">
        <f t="shared" si="0"/>
        <v>100</v>
      </c>
      <c r="M34" s="2">
        <f t="shared" si="1"/>
        <v>8.3333333333333321</v>
      </c>
      <c r="N34" s="2">
        <f t="shared" si="2"/>
        <v>90</v>
      </c>
      <c r="O34" s="2">
        <f t="shared" si="3"/>
        <v>100</v>
      </c>
      <c r="P34" s="2">
        <f t="shared" si="4"/>
        <v>40</v>
      </c>
      <c r="Q34" s="2">
        <f t="shared" si="5"/>
        <v>73.2</v>
      </c>
      <c r="R34" s="2" t="str">
        <f t="shared" si="6"/>
        <v>High</v>
      </c>
      <c r="S34" s="2" t="str">
        <f t="shared" si="7"/>
        <v>high severity; high potential impact; continuous water loss; recurring location</v>
      </c>
      <c r="T34" s="2" t="str">
        <f t="shared" si="8"/>
        <v>Recurring Hotspot</v>
      </c>
      <c r="U34" s="2" t="str">
        <f t="shared" si="9"/>
        <v>Inspect the level-control or valve mechanism and stop unnecessary overflow.</v>
      </c>
      <c r="V34" s="2" t="str">
        <f t="shared" si="10"/>
        <v>Schedule preventive inspection and review recurring causes.</v>
      </c>
    </row>
    <row r="35" spans="1:22" ht="165">
      <c r="A35" t="s">
        <v>110</v>
      </c>
      <c r="B35" t="s">
        <v>40</v>
      </c>
      <c r="C35" t="s">
        <v>41</v>
      </c>
      <c r="D35" t="s">
        <v>111</v>
      </c>
      <c r="E35" s="5">
        <v>46270.298611111109</v>
      </c>
      <c r="F35">
        <v>1</v>
      </c>
      <c r="G35" t="s">
        <v>43</v>
      </c>
      <c r="H35">
        <v>20</v>
      </c>
      <c r="I35" t="s">
        <v>44</v>
      </c>
      <c r="J35">
        <v>1</v>
      </c>
      <c r="K35" t="s">
        <v>34</v>
      </c>
      <c r="L35" s="2">
        <f t="shared" si="0"/>
        <v>60</v>
      </c>
      <c r="M35" s="2">
        <f t="shared" si="1"/>
        <v>4.1666666666666661</v>
      </c>
      <c r="N35" s="2">
        <f t="shared" si="2"/>
        <v>20</v>
      </c>
      <c r="O35" s="2">
        <f t="shared" si="3"/>
        <v>50</v>
      </c>
      <c r="P35" s="2">
        <f t="shared" si="4"/>
        <v>20</v>
      </c>
      <c r="Q35" s="2">
        <f t="shared" si="5"/>
        <v>33.299999999999997</v>
      </c>
      <c r="R35" s="2" t="str">
        <f t="shared" si="6"/>
        <v>Low</v>
      </c>
      <c r="S35" s="2" t="str">
        <f t="shared" si="7"/>
        <v xml:space="preserve">moderate severity; </v>
      </c>
      <c r="T35" s="2" t="str">
        <f t="shared" si="8"/>
        <v>Recurring Hotspot</v>
      </c>
      <c r="U35" s="2" t="str">
        <f t="shared" si="9"/>
        <v>Inspect the irrigation hose, valve, or connection and repair the damaged section.</v>
      </c>
      <c r="V35" s="2" t="str">
        <f t="shared" si="10"/>
        <v>Schedule preventive inspection and review recurring causes.</v>
      </c>
    </row>
    <row r="36" spans="1:22" ht="195">
      <c r="A36" t="s">
        <v>112</v>
      </c>
      <c r="B36" t="s">
        <v>48</v>
      </c>
      <c r="C36" t="s">
        <v>57</v>
      </c>
      <c r="D36" t="s">
        <v>113</v>
      </c>
      <c r="E36" s="5">
        <v>46270.430555555555</v>
      </c>
      <c r="F36">
        <v>11</v>
      </c>
      <c r="G36" t="s">
        <v>26</v>
      </c>
      <c r="H36">
        <v>65</v>
      </c>
      <c r="I36" t="s">
        <v>27</v>
      </c>
      <c r="J36">
        <v>2</v>
      </c>
      <c r="K36" t="s">
        <v>28</v>
      </c>
      <c r="L36" s="2">
        <f t="shared" si="0"/>
        <v>100</v>
      </c>
      <c r="M36" s="2">
        <f t="shared" si="1"/>
        <v>45.833333333333329</v>
      </c>
      <c r="N36" s="2">
        <f t="shared" si="2"/>
        <v>65</v>
      </c>
      <c r="O36" s="2">
        <f t="shared" si="3"/>
        <v>100</v>
      </c>
      <c r="P36" s="2">
        <f t="shared" si="4"/>
        <v>40</v>
      </c>
      <c r="Q36" s="2">
        <f t="shared" si="5"/>
        <v>74.400000000000006</v>
      </c>
      <c r="R36" s="2" t="str">
        <f t="shared" si="6"/>
        <v>High</v>
      </c>
      <c r="S36" s="2" t="str">
        <f t="shared" si="7"/>
        <v>high severity; long duration; continuous water loss; recurring location</v>
      </c>
      <c r="T36" s="2" t="str">
        <f t="shared" si="8"/>
        <v>Recurring Hotspot</v>
      </c>
      <c r="U36" s="2" t="str">
        <f t="shared" si="9"/>
        <v>Inspect and isolate the affected water line if required, then repair the damaged section.</v>
      </c>
      <c r="V36" s="2" t="str">
        <f t="shared" si="10"/>
        <v>Schedule preventive inspection and review recurring causes.</v>
      </c>
    </row>
    <row r="37" spans="1:22" ht="135">
      <c r="A37" t="s">
        <v>114</v>
      </c>
      <c r="B37" t="s">
        <v>51</v>
      </c>
      <c r="C37" t="s">
        <v>52</v>
      </c>
      <c r="D37" t="s">
        <v>115</v>
      </c>
      <c r="E37" s="5">
        <v>46270.586805555555</v>
      </c>
      <c r="F37">
        <v>4</v>
      </c>
      <c r="G37" t="s">
        <v>43</v>
      </c>
      <c r="H37">
        <v>45</v>
      </c>
      <c r="I37" t="s">
        <v>27</v>
      </c>
      <c r="J37">
        <v>1</v>
      </c>
      <c r="K37" t="s">
        <v>54</v>
      </c>
      <c r="L37" s="2">
        <f t="shared" si="0"/>
        <v>60</v>
      </c>
      <c r="M37" s="2">
        <f t="shared" si="1"/>
        <v>16.666666666666664</v>
      </c>
      <c r="N37" s="2">
        <f t="shared" si="2"/>
        <v>45</v>
      </c>
      <c r="O37" s="2">
        <f t="shared" si="3"/>
        <v>100</v>
      </c>
      <c r="P37" s="2">
        <f t="shared" si="4"/>
        <v>20</v>
      </c>
      <c r="Q37" s="2">
        <f t="shared" si="5"/>
        <v>49.6</v>
      </c>
      <c r="R37" s="2" t="str">
        <f t="shared" si="6"/>
        <v>Medium</v>
      </c>
      <c r="S37" s="2" t="str">
        <f t="shared" si="7"/>
        <v xml:space="preserve">moderate severity; continuous water loss; </v>
      </c>
      <c r="T37" s="2" t="str">
        <f t="shared" si="8"/>
        <v>Recurring Hotspot</v>
      </c>
      <c r="U37" s="2" t="str">
        <f t="shared" si="9"/>
        <v>Inspect the plumbing fitting and repair the source of leakage.</v>
      </c>
      <c r="V37" s="2" t="str">
        <f t="shared" si="10"/>
        <v>Schedule preventive inspection and review recurring causes.</v>
      </c>
    </row>
    <row r="38" spans="1:22" ht="180">
      <c r="A38" t="s">
        <v>116</v>
      </c>
      <c r="B38" t="s">
        <v>23</v>
      </c>
      <c r="C38" t="s">
        <v>24</v>
      </c>
      <c r="D38" t="s">
        <v>117</v>
      </c>
      <c r="E38" s="5">
        <v>46271.288194444445</v>
      </c>
      <c r="F38">
        <v>5</v>
      </c>
      <c r="G38" t="s">
        <v>26</v>
      </c>
      <c r="H38">
        <v>90</v>
      </c>
      <c r="I38" t="s">
        <v>27</v>
      </c>
      <c r="J38">
        <v>3</v>
      </c>
      <c r="K38" t="s">
        <v>28</v>
      </c>
      <c r="L38" s="2">
        <f t="shared" si="0"/>
        <v>100</v>
      </c>
      <c r="M38" s="2">
        <f t="shared" si="1"/>
        <v>20.833333333333336</v>
      </c>
      <c r="N38" s="2">
        <f t="shared" si="2"/>
        <v>90</v>
      </c>
      <c r="O38" s="2">
        <f t="shared" si="3"/>
        <v>100</v>
      </c>
      <c r="P38" s="2">
        <f t="shared" si="4"/>
        <v>60</v>
      </c>
      <c r="Q38" s="2">
        <f t="shared" si="5"/>
        <v>77.7</v>
      </c>
      <c r="R38" s="2" t="str">
        <f t="shared" si="6"/>
        <v>High</v>
      </c>
      <c r="S38" s="2" t="str">
        <f t="shared" si="7"/>
        <v>high severity; high potential impact; continuous water loss; recurring location</v>
      </c>
      <c r="T38" s="2" t="str">
        <f t="shared" si="8"/>
        <v>Recurring Hotspot</v>
      </c>
      <c r="U38" s="2" t="str">
        <f t="shared" si="9"/>
        <v>Inspect and repair the affected pipe; check the nearby line for related damage.</v>
      </c>
      <c r="V38" s="2" t="str">
        <f t="shared" si="10"/>
        <v>Schedule preventive inspection and review recurring causes.</v>
      </c>
    </row>
    <row r="39" spans="1:22" ht="120">
      <c r="A39" t="s">
        <v>118</v>
      </c>
      <c r="B39" t="s">
        <v>60</v>
      </c>
      <c r="C39" t="s">
        <v>31</v>
      </c>
      <c r="D39" t="s">
        <v>61</v>
      </c>
      <c r="E39" s="5">
        <v>46271.680555555555</v>
      </c>
      <c r="F39">
        <v>6</v>
      </c>
      <c r="G39" t="s">
        <v>33</v>
      </c>
      <c r="H39">
        <v>12</v>
      </c>
      <c r="I39" t="s">
        <v>44</v>
      </c>
      <c r="J39">
        <v>1</v>
      </c>
      <c r="K39" t="s">
        <v>34</v>
      </c>
      <c r="L39" s="2">
        <f t="shared" si="0"/>
        <v>25</v>
      </c>
      <c r="M39" s="2">
        <f t="shared" si="1"/>
        <v>25</v>
      </c>
      <c r="N39" s="2">
        <f t="shared" si="2"/>
        <v>12</v>
      </c>
      <c r="O39" s="2">
        <f t="shared" si="3"/>
        <v>50</v>
      </c>
      <c r="P39" s="2">
        <f t="shared" si="4"/>
        <v>20</v>
      </c>
      <c r="Q39" s="2">
        <f t="shared" si="5"/>
        <v>25</v>
      </c>
      <c r="R39" s="2" t="str">
        <f t="shared" si="6"/>
        <v>Low</v>
      </c>
      <c r="S39" s="2" t="str">
        <f t="shared" si="7"/>
        <v xml:space="preserve">long duration; </v>
      </c>
      <c r="T39" s="2" t="str">
        <f t="shared" si="8"/>
        <v>Recurring Hotspot</v>
      </c>
      <c r="U39" s="2" t="str">
        <f t="shared" si="9"/>
        <v>Inspect the tap and repair or replace the faulty fitting.</v>
      </c>
      <c r="V39" s="2" t="str">
        <f t="shared" si="10"/>
        <v>Schedule preventive inspection and review recurring causes.</v>
      </c>
    </row>
    <row r="40" spans="1:22" ht="195">
      <c r="A40" t="s">
        <v>119</v>
      </c>
      <c r="B40" t="s">
        <v>56</v>
      </c>
      <c r="C40" t="s">
        <v>57</v>
      </c>
      <c r="D40" t="s">
        <v>120</v>
      </c>
      <c r="E40" s="5">
        <v>46272.309027777781</v>
      </c>
      <c r="F40">
        <v>10</v>
      </c>
      <c r="G40" t="s">
        <v>26</v>
      </c>
      <c r="H40">
        <v>110</v>
      </c>
      <c r="I40" t="s">
        <v>27</v>
      </c>
      <c r="J40">
        <v>3</v>
      </c>
      <c r="K40" t="s">
        <v>28</v>
      </c>
      <c r="L40" s="2">
        <f t="shared" si="0"/>
        <v>100</v>
      </c>
      <c r="M40" s="2">
        <f t="shared" si="1"/>
        <v>41.666666666666671</v>
      </c>
      <c r="N40" s="2">
        <f t="shared" si="2"/>
        <v>100</v>
      </c>
      <c r="O40" s="2">
        <f t="shared" si="3"/>
        <v>100</v>
      </c>
      <c r="P40" s="2">
        <f t="shared" si="4"/>
        <v>60</v>
      </c>
      <c r="Q40" s="2">
        <f t="shared" si="5"/>
        <v>84.3</v>
      </c>
      <c r="R40" s="2" t="str">
        <f t="shared" si="6"/>
        <v>High</v>
      </c>
      <c r="S40" s="2" t="str">
        <f t="shared" si="7"/>
        <v>high severity; long duration; high potential impact; continuous water loss; recurring location</v>
      </c>
      <c r="T40" s="2" t="str">
        <f t="shared" si="8"/>
        <v>Recurring Hotspot</v>
      </c>
      <c r="U40" s="2" t="str">
        <f t="shared" si="9"/>
        <v>Inspect and isolate the affected water line if required, then repair the damaged section.</v>
      </c>
      <c r="V40" s="2" t="str">
        <f t="shared" si="10"/>
        <v>Schedule preventive inspection and review recurring causes.</v>
      </c>
    </row>
    <row r="41" spans="1:22" ht="165">
      <c r="A41" t="s">
        <v>121</v>
      </c>
      <c r="B41" t="s">
        <v>36</v>
      </c>
      <c r="C41" t="s">
        <v>37</v>
      </c>
      <c r="D41" t="s">
        <v>122</v>
      </c>
      <c r="E41" s="5">
        <v>46272.486111111109</v>
      </c>
      <c r="F41">
        <v>1.5</v>
      </c>
      <c r="G41" t="s">
        <v>26</v>
      </c>
      <c r="H41">
        <v>100</v>
      </c>
      <c r="I41" t="s">
        <v>27</v>
      </c>
      <c r="J41">
        <v>4</v>
      </c>
      <c r="K41" t="s">
        <v>28</v>
      </c>
      <c r="L41" s="2">
        <f t="shared" si="0"/>
        <v>100</v>
      </c>
      <c r="M41" s="2">
        <f t="shared" si="1"/>
        <v>6.25</v>
      </c>
      <c r="N41" s="2">
        <f t="shared" si="2"/>
        <v>100</v>
      </c>
      <c r="O41" s="2">
        <f t="shared" si="3"/>
        <v>100</v>
      </c>
      <c r="P41" s="2">
        <f t="shared" si="4"/>
        <v>80</v>
      </c>
      <c r="Q41" s="2">
        <f t="shared" si="5"/>
        <v>79.3</v>
      </c>
      <c r="R41" s="2" t="str">
        <f t="shared" si="6"/>
        <v>High</v>
      </c>
      <c r="S41" s="2" t="str">
        <f t="shared" si="7"/>
        <v>high severity; high potential impact; continuous water loss; recurring location</v>
      </c>
      <c r="T41" s="2" t="str">
        <f t="shared" si="8"/>
        <v>Recurring Hotspot</v>
      </c>
      <c r="U41" s="2" t="str">
        <f t="shared" si="9"/>
        <v>Inspect the level-control or valve mechanism and stop unnecessary overflow.</v>
      </c>
      <c r="V41" s="2" t="str">
        <f t="shared" si="10"/>
        <v>Schedule preventive inspection and review recurring causes.</v>
      </c>
    </row>
    <row r="42" spans="1:22" ht="135">
      <c r="A42" t="s">
        <v>123</v>
      </c>
      <c r="B42" t="s">
        <v>30</v>
      </c>
      <c r="C42" t="s">
        <v>52</v>
      </c>
      <c r="D42" t="s">
        <v>124</v>
      </c>
      <c r="E42" s="5">
        <v>46272.604166666664</v>
      </c>
      <c r="F42">
        <v>5</v>
      </c>
      <c r="G42" t="s">
        <v>43</v>
      </c>
      <c r="H42">
        <v>30</v>
      </c>
      <c r="I42" t="s">
        <v>27</v>
      </c>
      <c r="J42">
        <v>1</v>
      </c>
      <c r="K42" t="s">
        <v>54</v>
      </c>
      <c r="L42" s="2">
        <f t="shared" si="0"/>
        <v>60</v>
      </c>
      <c r="M42" s="2">
        <f t="shared" si="1"/>
        <v>20.833333333333336</v>
      </c>
      <c r="N42" s="2">
        <f t="shared" si="2"/>
        <v>30</v>
      </c>
      <c r="O42" s="2">
        <f t="shared" si="3"/>
        <v>100</v>
      </c>
      <c r="P42" s="2">
        <f t="shared" si="4"/>
        <v>20</v>
      </c>
      <c r="Q42" s="2">
        <f t="shared" si="5"/>
        <v>46.7</v>
      </c>
      <c r="R42" s="2" t="str">
        <f t="shared" si="6"/>
        <v>Medium</v>
      </c>
      <c r="S42" s="2" t="str">
        <f t="shared" si="7"/>
        <v xml:space="preserve">moderate severity; continuous water loss; </v>
      </c>
      <c r="T42" s="2" t="str">
        <f t="shared" si="8"/>
        <v>Recurring Hotspot</v>
      </c>
      <c r="U42" s="2" t="str">
        <f t="shared" si="9"/>
        <v>Inspect the plumbing fitting and repair the source of leakage.</v>
      </c>
      <c r="V42" s="2" t="str">
        <f t="shared" si="10"/>
        <v>Schedule preventive inspection and review recurring causes.</v>
      </c>
    </row>
    <row r="43" spans="1:22" ht="165">
      <c r="A43" t="s">
        <v>125</v>
      </c>
      <c r="B43" t="s">
        <v>40</v>
      </c>
      <c r="C43" t="s">
        <v>41</v>
      </c>
      <c r="D43" t="s">
        <v>126</v>
      </c>
      <c r="E43" s="5">
        <v>46273.315972222219</v>
      </c>
      <c r="F43">
        <v>2.5</v>
      </c>
      <c r="G43" t="s">
        <v>43</v>
      </c>
      <c r="H43">
        <v>18</v>
      </c>
      <c r="I43" t="s">
        <v>44</v>
      </c>
      <c r="J43">
        <v>2</v>
      </c>
      <c r="K43" t="s">
        <v>34</v>
      </c>
      <c r="L43" s="2">
        <f t="shared" si="0"/>
        <v>60</v>
      </c>
      <c r="M43" s="2">
        <f t="shared" si="1"/>
        <v>10.416666666666668</v>
      </c>
      <c r="N43" s="2">
        <f t="shared" si="2"/>
        <v>18</v>
      </c>
      <c r="O43" s="2">
        <f t="shared" si="3"/>
        <v>50</v>
      </c>
      <c r="P43" s="2">
        <f t="shared" si="4"/>
        <v>40</v>
      </c>
      <c r="Q43" s="2">
        <f t="shared" si="5"/>
        <v>36.1</v>
      </c>
      <c r="R43" s="2" t="str">
        <f t="shared" si="6"/>
        <v>Low</v>
      </c>
      <c r="S43" s="2" t="str">
        <f t="shared" si="7"/>
        <v>moderate severity; recurring location</v>
      </c>
      <c r="T43" s="2" t="str">
        <f t="shared" si="8"/>
        <v>Recurring Hotspot</v>
      </c>
      <c r="U43" s="2" t="str">
        <f t="shared" si="9"/>
        <v>Inspect the irrigation hose, valve, or connection and repair the damaged section.</v>
      </c>
      <c r="V43" s="2" t="str">
        <f t="shared" si="10"/>
        <v>Schedule preventive inspection and review recurring causes.</v>
      </c>
    </row>
    <row r="44" spans="1:22" ht="120">
      <c r="A44" t="s">
        <v>127</v>
      </c>
      <c r="B44" t="s">
        <v>48</v>
      </c>
      <c r="C44" t="s">
        <v>31</v>
      </c>
      <c r="D44" t="s">
        <v>128</v>
      </c>
      <c r="E44" s="5">
        <v>46273.552083333336</v>
      </c>
      <c r="F44">
        <v>14</v>
      </c>
      <c r="G44" t="s">
        <v>33</v>
      </c>
      <c r="H44">
        <v>25</v>
      </c>
      <c r="I44" t="s">
        <v>27</v>
      </c>
      <c r="J44">
        <v>2</v>
      </c>
      <c r="K44" t="s">
        <v>54</v>
      </c>
      <c r="L44" s="2">
        <f t="shared" si="0"/>
        <v>25</v>
      </c>
      <c r="M44" s="2">
        <f t="shared" si="1"/>
        <v>58.333333333333336</v>
      </c>
      <c r="N44" s="2">
        <f t="shared" si="2"/>
        <v>25</v>
      </c>
      <c r="O44" s="2">
        <f t="shared" si="3"/>
        <v>100</v>
      </c>
      <c r="P44" s="2">
        <f t="shared" si="4"/>
        <v>40</v>
      </c>
      <c r="Q44" s="2">
        <f t="shared" si="5"/>
        <v>44.4</v>
      </c>
      <c r="R44" s="2" t="str">
        <f t="shared" si="6"/>
        <v>Medium</v>
      </c>
      <c r="S44" s="2" t="str">
        <f t="shared" si="7"/>
        <v>long duration; continuous water loss; recurring location</v>
      </c>
      <c r="T44" s="2" t="str">
        <f t="shared" si="8"/>
        <v>Recurring Hotspot</v>
      </c>
      <c r="U44" s="2" t="str">
        <f t="shared" si="9"/>
        <v>Inspect the tap and repair or replace the faulty fitting.</v>
      </c>
      <c r="V44" s="2" t="str">
        <f t="shared" si="10"/>
        <v>Schedule preventive inspection and review recurring causes.</v>
      </c>
    </row>
    <row r="45" spans="1:22" ht="195">
      <c r="A45" t="s">
        <v>129</v>
      </c>
      <c r="B45" t="s">
        <v>51</v>
      </c>
      <c r="C45" t="s">
        <v>57</v>
      </c>
      <c r="D45" t="s">
        <v>130</v>
      </c>
      <c r="E45" s="5">
        <v>46273.697916666664</v>
      </c>
      <c r="F45">
        <v>6</v>
      </c>
      <c r="G45" t="s">
        <v>26</v>
      </c>
      <c r="H45">
        <v>85</v>
      </c>
      <c r="I45" t="s">
        <v>27</v>
      </c>
      <c r="J45">
        <v>1</v>
      </c>
      <c r="K45" t="s">
        <v>28</v>
      </c>
      <c r="L45" s="2">
        <f t="shared" si="0"/>
        <v>100</v>
      </c>
      <c r="M45" s="2">
        <f t="shared" si="1"/>
        <v>25</v>
      </c>
      <c r="N45" s="2">
        <f t="shared" si="2"/>
        <v>85</v>
      </c>
      <c r="O45" s="2">
        <f t="shared" si="3"/>
        <v>100</v>
      </c>
      <c r="P45" s="2">
        <f t="shared" si="4"/>
        <v>20</v>
      </c>
      <c r="Q45" s="2">
        <f t="shared" si="5"/>
        <v>73.3</v>
      </c>
      <c r="R45" s="2" t="str">
        <f t="shared" si="6"/>
        <v>High</v>
      </c>
      <c r="S45" s="2" t="str">
        <f t="shared" si="7"/>
        <v xml:space="preserve">high severity; long duration; high potential impact; continuous water loss; </v>
      </c>
      <c r="T45" s="2" t="str">
        <f t="shared" si="8"/>
        <v>Recurring Hotspot</v>
      </c>
      <c r="U45" s="2" t="str">
        <f t="shared" si="9"/>
        <v>Inspect and isolate the affected water line if required, then repair the damaged section.</v>
      </c>
      <c r="V45" s="2" t="str">
        <f t="shared" si="10"/>
        <v>Schedule preventive inspection and review recurring causes.</v>
      </c>
    </row>
    <row r="46" spans="1:22" ht="180">
      <c r="A46" t="s">
        <v>131</v>
      </c>
      <c r="B46" t="s">
        <v>23</v>
      </c>
      <c r="C46" t="s">
        <v>24</v>
      </c>
      <c r="D46" t="s">
        <v>132</v>
      </c>
      <c r="E46" s="5">
        <v>46274.295138888891</v>
      </c>
      <c r="F46">
        <v>8</v>
      </c>
      <c r="G46" t="s">
        <v>26</v>
      </c>
      <c r="H46">
        <v>100</v>
      </c>
      <c r="I46" t="s">
        <v>27</v>
      </c>
      <c r="J46">
        <v>7</v>
      </c>
      <c r="K46" t="s">
        <v>28</v>
      </c>
      <c r="L46" s="2">
        <f t="shared" si="0"/>
        <v>100</v>
      </c>
      <c r="M46" s="2">
        <f t="shared" si="1"/>
        <v>33.333333333333329</v>
      </c>
      <c r="N46" s="2">
        <f t="shared" si="2"/>
        <v>100</v>
      </c>
      <c r="O46" s="2">
        <f t="shared" si="3"/>
        <v>100</v>
      </c>
      <c r="P46" s="2">
        <f t="shared" si="4"/>
        <v>100</v>
      </c>
      <c r="Q46" s="2">
        <f t="shared" si="5"/>
        <v>86.7</v>
      </c>
      <c r="R46" s="2" t="str">
        <f t="shared" si="6"/>
        <v>High</v>
      </c>
      <c r="S46" s="2" t="str">
        <f t="shared" si="7"/>
        <v>high severity; long duration; high potential impact; continuous water loss; recurring location</v>
      </c>
      <c r="T46" s="2" t="str">
        <f t="shared" si="8"/>
        <v>Recurring Hotspot</v>
      </c>
      <c r="U46" s="2" t="str">
        <f t="shared" si="9"/>
        <v>Inspect and repair the affected pipe; check the nearby line for related damage.</v>
      </c>
      <c r="V46" s="2" t="str">
        <f t="shared" si="10"/>
        <v>Schedule preventive inspection and review recurring causes.</v>
      </c>
    </row>
    <row r="47" spans="1:22" ht="120">
      <c r="A47" t="s">
        <v>133</v>
      </c>
      <c r="B47" t="s">
        <v>56</v>
      </c>
      <c r="C47" t="s">
        <v>31</v>
      </c>
      <c r="D47" t="s">
        <v>134</v>
      </c>
      <c r="E47" s="5">
        <v>46274.517361111109</v>
      </c>
      <c r="F47">
        <v>4</v>
      </c>
      <c r="G47" t="s">
        <v>33</v>
      </c>
      <c r="H47">
        <v>20</v>
      </c>
      <c r="I47" t="s">
        <v>27</v>
      </c>
      <c r="J47">
        <v>2</v>
      </c>
      <c r="K47" t="s">
        <v>34</v>
      </c>
      <c r="L47" s="2">
        <f t="shared" si="0"/>
        <v>25</v>
      </c>
      <c r="M47" s="2">
        <f t="shared" si="1"/>
        <v>16.666666666666664</v>
      </c>
      <c r="N47" s="2">
        <f t="shared" si="2"/>
        <v>20</v>
      </c>
      <c r="O47" s="2">
        <f t="shared" si="3"/>
        <v>100</v>
      </c>
      <c r="P47" s="2">
        <f t="shared" si="4"/>
        <v>40</v>
      </c>
      <c r="Q47" s="2">
        <f t="shared" si="5"/>
        <v>34.799999999999997</v>
      </c>
      <c r="R47" s="2" t="str">
        <f t="shared" si="6"/>
        <v>Low</v>
      </c>
      <c r="S47" s="2" t="str">
        <f t="shared" si="7"/>
        <v>continuous water loss; recurring location</v>
      </c>
      <c r="T47" s="2" t="str">
        <f t="shared" si="8"/>
        <v>Recurring Hotspot</v>
      </c>
      <c r="U47" s="2" t="str">
        <f t="shared" si="9"/>
        <v>Inspect the tap and repair or replace the faulty fitting.</v>
      </c>
      <c r="V47" s="2" t="str">
        <f t="shared" si="10"/>
        <v>Schedule preventive inspection and review recurring causes.</v>
      </c>
    </row>
    <row r="48" spans="1:22" ht="195">
      <c r="A48" t="s">
        <v>135</v>
      </c>
      <c r="B48" t="s">
        <v>36</v>
      </c>
      <c r="C48" t="s">
        <v>57</v>
      </c>
      <c r="D48" t="s">
        <v>136</v>
      </c>
      <c r="E48" s="5">
        <v>46274.631944444445</v>
      </c>
      <c r="F48">
        <v>5</v>
      </c>
      <c r="G48" t="s">
        <v>26</v>
      </c>
      <c r="H48">
        <v>100</v>
      </c>
      <c r="I48" t="s">
        <v>27</v>
      </c>
      <c r="J48">
        <v>3</v>
      </c>
      <c r="K48" t="s">
        <v>28</v>
      </c>
      <c r="L48" s="2">
        <f t="shared" si="0"/>
        <v>100</v>
      </c>
      <c r="M48" s="2">
        <f t="shared" si="1"/>
        <v>20.833333333333336</v>
      </c>
      <c r="N48" s="2">
        <f t="shared" si="2"/>
        <v>100</v>
      </c>
      <c r="O48" s="2">
        <f t="shared" si="3"/>
        <v>100</v>
      </c>
      <c r="P48" s="2">
        <f t="shared" si="4"/>
        <v>60</v>
      </c>
      <c r="Q48" s="2">
        <f t="shared" si="5"/>
        <v>80.2</v>
      </c>
      <c r="R48" s="2" t="str">
        <f t="shared" si="6"/>
        <v>High</v>
      </c>
      <c r="S48" s="2" t="str">
        <f t="shared" si="7"/>
        <v>high severity; high potential impact; continuous water loss; recurring location</v>
      </c>
      <c r="T48" s="2" t="str">
        <f t="shared" si="8"/>
        <v>Recurring Hotspot</v>
      </c>
      <c r="U48" s="2" t="str">
        <f t="shared" si="9"/>
        <v>Inspect and isolate the affected water line if required, then repair the damaged section.</v>
      </c>
      <c r="V48" s="2" t="str">
        <f t="shared" si="10"/>
        <v>Schedule preventive inspection and review recurring causes.</v>
      </c>
    </row>
    <row r="49" spans="1:22" ht="165">
      <c r="A49" t="s">
        <v>137</v>
      </c>
      <c r="B49" t="s">
        <v>40</v>
      </c>
      <c r="C49" t="s">
        <v>41</v>
      </c>
      <c r="D49" t="s">
        <v>138</v>
      </c>
      <c r="E49" s="5">
        <v>46275.326388888891</v>
      </c>
      <c r="F49">
        <v>4</v>
      </c>
      <c r="G49" t="s">
        <v>43</v>
      </c>
      <c r="H49">
        <v>25</v>
      </c>
      <c r="I49" t="s">
        <v>44</v>
      </c>
      <c r="J49">
        <v>2</v>
      </c>
      <c r="K49" t="s">
        <v>54</v>
      </c>
      <c r="L49" s="2">
        <f t="shared" si="0"/>
        <v>60</v>
      </c>
      <c r="M49" s="2">
        <f t="shared" si="1"/>
        <v>16.666666666666664</v>
      </c>
      <c r="N49" s="2">
        <f t="shared" si="2"/>
        <v>25</v>
      </c>
      <c r="O49" s="2">
        <f t="shared" si="3"/>
        <v>50</v>
      </c>
      <c r="P49" s="2">
        <f t="shared" si="4"/>
        <v>40</v>
      </c>
      <c r="Q49" s="2">
        <f t="shared" si="5"/>
        <v>39.1</v>
      </c>
      <c r="R49" s="2" t="str">
        <f t="shared" si="6"/>
        <v>Low</v>
      </c>
      <c r="S49" s="2" t="str">
        <f t="shared" si="7"/>
        <v>moderate severity; recurring location</v>
      </c>
      <c r="T49" s="2" t="str">
        <f t="shared" si="8"/>
        <v>Recurring Hotspot</v>
      </c>
      <c r="U49" s="2" t="str">
        <f t="shared" si="9"/>
        <v>Inspect the irrigation hose, valve, or connection and repair the damaged section.</v>
      </c>
      <c r="V49" s="2" t="str">
        <f t="shared" si="10"/>
        <v>Schedule preventive inspection and review recurring causes.</v>
      </c>
    </row>
    <row r="50" spans="1:22" ht="150">
      <c r="A50" t="s">
        <v>139</v>
      </c>
      <c r="B50" t="s">
        <v>51</v>
      </c>
      <c r="C50" t="s">
        <v>52</v>
      </c>
      <c r="D50" t="s">
        <v>140</v>
      </c>
      <c r="E50" s="5">
        <v>46275.479166666664</v>
      </c>
      <c r="F50">
        <v>7</v>
      </c>
      <c r="G50" t="s">
        <v>43</v>
      </c>
      <c r="H50">
        <v>55</v>
      </c>
      <c r="I50" t="s">
        <v>27</v>
      </c>
      <c r="J50">
        <v>2</v>
      </c>
      <c r="K50" t="s">
        <v>28</v>
      </c>
      <c r="L50" s="2">
        <f t="shared" si="0"/>
        <v>60</v>
      </c>
      <c r="M50" s="2">
        <f t="shared" si="1"/>
        <v>29.166666666666668</v>
      </c>
      <c r="N50" s="2">
        <f t="shared" si="2"/>
        <v>55</v>
      </c>
      <c r="O50" s="2">
        <f t="shared" si="3"/>
        <v>100</v>
      </c>
      <c r="P50" s="2">
        <f t="shared" si="4"/>
        <v>40</v>
      </c>
      <c r="Q50" s="2">
        <f t="shared" si="5"/>
        <v>56.6</v>
      </c>
      <c r="R50" s="2" t="str">
        <f t="shared" si="6"/>
        <v>Medium</v>
      </c>
      <c r="S50" s="2" t="str">
        <f t="shared" si="7"/>
        <v>moderate severity; long duration; continuous water loss; recurring location</v>
      </c>
      <c r="T50" s="2" t="str">
        <f t="shared" si="8"/>
        <v>Recurring Hotspot</v>
      </c>
      <c r="U50" s="2" t="str">
        <f t="shared" si="9"/>
        <v>Inspect the plumbing fitting and repair the source of leakage.</v>
      </c>
      <c r="V50" s="2" t="str">
        <f t="shared" si="10"/>
        <v>Schedule preventive inspection and review recurring causes.</v>
      </c>
    </row>
    <row r="51" spans="1:22" ht="195">
      <c r="A51" t="s">
        <v>141</v>
      </c>
      <c r="B51" t="s">
        <v>23</v>
      </c>
      <c r="C51" t="s">
        <v>57</v>
      </c>
      <c r="D51" t="s">
        <v>142</v>
      </c>
      <c r="E51" s="5">
        <v>46275.722222222219</v>
      </c>
      <c r="F51">
        <v>10</v>
      </c>
      <c r="G51" t="s">
        <v>26</v>
      </c>
      <c r="H51">
        <v>120</v>
      </c>
      <c r="I51" t="s">
        <v>27</v>
      </c>
      <c r="J51">
        <v>8</v>
      </c>
      <c r="K51" t="s">
        <v>28</v>
      </c>
      <c r="L51" s="2">
        <f t="shared" si="0"/>
        <v>100</v>
      </c>
      <c r="M51" s="2">
        <f t="shared" si="1"/>
        <v>41.666666666666671</v>
      </c>
      <c r="N51" s="2">
        <f t="shared" si="2"/>
        <v>100</v>
      </c>
      <c r="O51" s="2">
        <f t="shared" si="3"/>
        <v>100</v>
      </c>
      <c r="P51" s="2">
        <f t="shared" si="4"/>
        <v>100</v>
      </c>
      <c r="Q51" s="2">
        <f t="shared" si="5"/>
        <v>88.3</v>
      </c>
      <c r="R51" s="2" t="str">
        <f t="shared" si="6"/>
        <v>High</v>
      </c>
      <c r="S51" s="2" t="str">
        <f t="shared" si="7"/>
        <v>high severity; long duration; high potential impact; continuous water loss; recurring location</v>
      </c>
      <c r="T51" s="2" t="str">
        <f t="shared" si="8"/>
        <v>Recurring Hotspot</v>
      </c>
      <c r="U51" s="2" t="str">
        <f t="shared" si="9"/>
        <v>Inspect and isolate the affected water line if required, then repair the damaged section.</v>
      </c>
      <c r="V51" s="2" t="str">
        <f t="shared" si="10"/>
        <v>Schedule preventive inspection and review recurring causes.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 talatam</dc:creator>
  <cp:lastModifiedBy>sriya talatam</cp:lastModifiedBy>
  <dcterms:created xsi:type="dcterms:W3CDTF">2026-09-17T10:41:40Z</dcterms:created>
  <dcterms:modified xsi:type="dcterms:W3CDTF">2026-09-19T09:16:11Z</dcterms:modified>
</cp:coreProperties>
</file>